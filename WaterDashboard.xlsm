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Prince Albert\"/>
    </mc:Choice>
  </mc:AlternateContent>
  <xr:revisionPtr revIDLastSave="0" documentId="13_ncr:1_{09B13F89-7E6D-4CEF-B916-11E2E957E9FB}" xr6:coauthVersionLast="45" xr6:coauthVersionMax="45" xr10:uidLastSave="{00000000-0000-0000-0000-000000000000}"/>
  <bookViews>
    <workbookView xWindow="-108" yWindow="-108" windowWidth="23256" windowHeight="13176" activeTab="2" xr2:uid="{D9E598F9-C4E5-4CC4-A40D-56FA2109879F}"/>
  </bookViews>
  <sheets>
    <sheet name="Measurements" sheetId="1" r:id="rId1"/>
    <sheet name="Consolidated Literage" sheetId="7" r:id="rId2"/>
    <sheet name="Summary Statistics" sheetId="8" r:id="rId3"/>
    <sheet name="Literage" sheetId="2" state="hidden" r:id="rId4"/>
    <sheet name="Formulas" sheetId="6" state="hidden" r:id="rId5"/>
    <sheet name="Constants" sheetId="3" state="hidden" r:id="rId6"/>
    <sheet name="SummaryStatisticsTemplate" sheetId="9" state="hidden" r:id="rId7"/>
    <sheet name="SummaryStatisticsTable" sheetId="10" state="hidden" r:id="rId8"/>
  </sheets>
  <functionGroups builtInGroupCount="19"/>
  <definedNames>
    <definedName name="_xlcn.WorksheetConnection_Book1Dam_Capacity1" hidden="1">Dam_Literage[]</definedName>
    <definedName name="_xlcn.WorksheetConnection_Book1Dam_Measurements1" hidden="1">Dam_Measurements[]</definedName>
    <definedName name="SummaryStatisticsTemplate">SummaryStatisticsTemplate!$A$1:$F$12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m_Capacity" name="Dam_Capacity" connection="WorksheetConnection_Book1!Dam_Capacity"/>
          <x15:modelTable id="Dam_Measurements" name="Dam_Measurements" connection="WorksheetConnection_Book1!Dam_Measurements"/>
        </x15:modelTables>
        <x15:modelRelationships>
          <x15:modelRelationship fromTable="Dam_Capacity" fromColumn="Date" toTable="Dam_Measurements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0" l="1"/>
  <c r="B4" i="10"/>
  <c r="D4" i="10" s="1"/>
  <c r="C4" i="10"/>
  <c r="E4" i="10"/>
  <c r="G4" i="10" s="1"/>
  <c r="H4" i="10"/>
  <c r="I4" i="10"/>
  <c r="J4" i="10"/>
  <c r="K4" i="10"/>
  <c r="L4" i="10"/>
  <c r="M4" i="10"/>
  <c r="N4" i="10"/>
  <c r="O4" i="10"/>
  <c r="P4" i="10"/>
  <c r="Q4" i="10"/>
  <c r="R4" i="10"/>
  <c r="S4" i="10"/>
  <c r="S3" i="10"/>
  <c r="R3" i="10"/>
  <c r="Q3" i="10"/>
  <c r="P3" i="10"/>
  <c r="O3" i="10"/>
  <c r="N3" i="10"/>
  <c r="M3" i="10"/>
  <c r="L3" i="10"/>
  <c r="K3" i="10"/>
  <c r="J3" i="10"/>
  <c r="I3" i="10"/>
  <c r="H3" i="10"/>
  <c r="E3" i="10"/>
  <c r="T3" i="10" s="1"/>
  <c r="C3" i="10"/>
  <c r="B3" i="10"/>
  <c r="D3" i="10" s="1"/>
  <c r="A3" i="10"/>
  <c r="J5" i="2"/>
  <c r="A4" i="2"/>
  <c r="B4" i="2"/>
  <c r="C4" i="2"/>
  <c r="D4" i="2"/>
  <c r="E4" i="2"/>
  <c r="F4" i="2"/>
  <c r="G4" i="2"/>
  <c r="I5" i="2"/>
  <c r="K5" i="2"/>
  <c r="T4" i="10" l="1"/>
  <c r="G3" i="10"/>
  <c r="Q4" i="6"/>
  <c r="AB3" i="6" l="1"/>
  <c r="AM3" i="6" l="1"/>
  <c r="AL3" i="6"/>
  <c r="AG3" i="6"/>
  <c r="AF3" i="6"/>
  <c r="Y3" i="6" l="1"/>
  <c r="AN3" i="6"/>
  <c r="AO3" i="6"/>
  <c r="AP3" i="6"/>
  <c r="AK3" i="6"/>
  <c r="AH3" i="6"/>
  <c r="AI3" i="6"/>
  <c r="AJ3" i="6"/>
  <c r="AE3" i="6"/>
  <c r="AD3" i="6"/>
  <c r="Z3" i="6"/>
  <c r="X3" i="6"/>
  <c r="M4" i="2"/>
  <c r="K4" i="6"/>
  <c r="J4" i="6"/>
  <c r="AQ3" i="6" l="1"/>
  <c r="AA3" i="6"/>
  <c r="V4" i="6"/>
  <c r="K4" i="2"/>
  <c r="J4" i="2"/>
  <c r="V4" i="2" l="1"/>
  <c r="U4" i="2"/>
  <c r="B3" i="2"/>
  <c r="G3" i="2" l="1"/>
  <c r="F3" i="2"/>
  <c r="E3" i="2"/>
  <c r="D3" i="2"/>
  <c r="C3" i="2"/>
  <c r="A3" i="2"/>
  <c r="M4" i="6" l="1"/>
  <c r="O4" i="2"/>
  <c r="P4" i="2"/>
  <c r="Q4" i="2"/>
  <c r="R4" i="2"/>
  <c r="S4" i="2"/>
  <c r="T4" i="2"/>
  <c r="N4" i="2"/>
  <c r="O4" i="6"/>
  <c r="P4" i="6"/>
  <c r="R4" i="6"/>
  <c r="S4" i="6"/>
  <c r="T4" i="6"/>
  <c r="U4" i="6"/>
  <c r="N4" i="6"/>
  <c r="I4" i="2"/>
  <c r="I4" i="6"/>
  <c r="A3" i="6"/>
  <c r="G3" i="6"/>
  <c r="F3" i="6"/>
  <c r="E3" i="6"/>
  <c r="D3" i="6"/>
  <c r="C3" i="6"/>
  <c r="B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F600B0-B075-461D-8F6F-92751C577C3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B19DCA4-D950-4DFE-B8EB-D52DBAE5C1FD}" name="WorksheetConnection_Book1!Dam_Capacity" type="102" refreshedVersion="6" minRefreshableVersion="5">
    <extLst>
      <ext xmlns:x15="http://schemas.microsoft.com/office/spreadsheetml/2010/11/main" uri="{DE250136-89BD-433C-8126-D09CA5730AF9}">
        <x15:connection id="Dam_Capacity">
          <x15:rangePr sourceName="_xlcn.WorksheetConnection_Book1Dam_Capacity1"/>
        </x15:connection>
      </ext>
    </extLst>
  </connection>
  <connection id="3" xr16:uid="{B4F8BB34-2B61-4D4A-A0DA-4FFE08D09756}" name="WorksheetConnection_Book1!Dam_Measurements" type="102" refreshedVersion="6" minRefreshableVersion="5">
    <extLst>
      <ext xmlns:x15="http://schemas.microsoft.com/office/spreadsheetml/2010/11/main" uri="{DE250136-89BD-433C-8126-D09CA5730AF9}">
        <x15:connection id="Dam_Measurements">
          <x15:rangePr sourceName="_xlcn.WorksheetConnection_Book1Dam_Measurements1"/>
        </x15:connection>
      </ext>
    </extLst>
  </connection>
</connections>
</file>

<file path=xl/sharedStrings.xml><?xml version="1.0" encoding="utf-8"?>
<sst xmlns="http://schemas.openxmlformats.org/spreadsheetml/2006/main" count="245" uniqueCount="114">
  <si>
    <t>Flow Measurements</t>
  </si>
  <si>
    <t>Dam Measurements</t>
  </si>
  <si>
    <t>Rouwater</t>
  </si>
  <si>
    <t>Date</t>
  </si>
  <si>
    <t>Dam Height</t>
  </si>
  <si>
    <t>Dam Capacity</t>
  </si>
  <si>
    <t>Klippies</t>
  </si>
  <si>
    <t>Staandak</t>
  </si>
  <si>
    <t>Koppies</t>
  </si>
  <si>
    <t>Noord-end2</t>
  </si>
  <si>
    <t>Noord-end1</t>
  </si>
  <si>
    <t>Borehole1</t>
  </si>
  <si>
    <t>Borehole2</t>
  </si>
  <si>
    <t>Borehole3</t>
  </si>
  <si>
    <t>Borehole4</t>
  </si>
  <si>
    <t>Borehole5</t>
  </si>
  <si>
    <t>Borehole6</t>
  </si>
  <si>
    <t>Borehole7</t>
  </si>
  <si>
    <t>Borehole8</t>
  </si>
  <si>
    <t>Borehole9</t>
  </si>
  <si>
    <t>NoordEnd1</t>
  </si>
  <si>
    <t>NoordEnd2</t>
  </si>
  <si>
    <t>Dam Literage Formulas</t>
  </si>
  <si>
    <t>Groundwater Flows</t>
  </si>
  <si>
    <t>Piped Flows</t>
  </si>
  <si>
    <t>Dam Literage</t>
  </si>
  <si>
    <t>Flow Literage</t>
  </si>
  <si>
    <t>Parshall Flume</t>
  </si>
  <si>
    <t>Coefficient</t>
  </si>
  <si>
    <t>Exponent</t>
  </si>
  <si>
    <t>ParshallFlume</t>
  </si>
  <si>
    <t>Flows</t>
  </si>
  <si>
    <t>Contracted Weir</t>
  </si>
  <si>
    <t>Width</t>
  </si>
  <si>
    <t>Height</t>
  </si>
  <si>
    <t>Gravity</t>
  </si>
  <si>
    <t>Force</t>
  </si>
  <si>
    <t>Coefficient1</t>
  </si>
  <si>
    <t>Coefficient2</t>
  </si>
  <si>
    <t>SRK</t>
  </si>
  <si>
    <t>Date/Time</t>
  </si>
  <si>
    <t>% Full</t>
  </si>
  <si>
    <t>Total Dam Capacity</t>
  </si>
  <si>
    <t>Noord-end 1</t>
  </si>
  <si>
    <t>Noord-end 2</t>
  </si>
  <si>
    <t>Current Inflow l/h</t>
  </si>
  <si>
    <t>Consumption l/h</t>
  </si>
  <si>
    <t>Days till day zero given current inflow and consumption:</t>
  </si>
  <si>
    <t>Date and Time:</t>
  </si>
  <si>
    <t>Summary Statistics Formula</t>
  </si>
  <si>
    <t>Total Dam Literage</t>
  </si>
  <si>
    <t>% consumption</t>
  </si>
  <si>
    <t>DamLiterage1</t>
  </si>
  <si>
    <t>DamLiterage2</t>
  </si>
  <si>
    <t>DamLiterage3</t>
  </si>
  <si>
    <t>DamLiterage4</t>
  </si>
  <si>
    <t>DamLiterage5</t>
  </si>
  <si>
    <t>DamLiterage6</t>
  </si>
  <si>
    <t>Dam%1</t>
  </si>
  <si>
    <t>Dam%2</t>
  </si>
  <si>
    <t>Dam%3</t>
  </si>
  <si>
    <t>Dam%4</t>
  </si>
  <si>
    <t>Dam%5</t>
  </si>
  <si>
    <t>Dam%6</t>
  </si>
  <si>
    <t>Days till Day Zero</t>
  </si>
  <si>
    <t>Summary Statistics Mapping</t>
  </si>
  <si>
    <t>x1</t>
  </si>
  <si>
    <t>y1</t>
  </si>
  <si>
    <t>x2</t>
  </si>
  <si>
    <t>y2</t>
  </si>
  <si>
    <t>x3</t>
  </si>
  <si>
    <t>y3</t>
  </si>
  <si>
    <t>x4</t>
  </si>
  <si>
    <t>x5</t>
  </si>
  <si>
    <t>y5</t>
  </si>
  <si>
    <t>x6</t>
  </si>
  <si>
    <t>y6</t>
  </si>
  <si>
    <t>x7</t>
  </si>
  <si>
    <t>y7</t>
  </si>
  <si>
    <t>x8</t>
  </si>
  <si>
    <t>y8</t>
  </si>
  <si>
    <t>x9</t>
  </si>
  <si>
    <t>y9</t>
  </si>
  <si>
    <t>x10</t>
  </si>
  <si>
    <t>y10</t>
  </si>
  <si>
    <t>y11</t>
  </si>
  <si>
    <t>x12</t>
  </si>
  <si>
    <t>y13</t>
  </si>
  <si>
    <t>y12</t>
  </si>
  <si>
    <t>x13</t>
  </si>
  <si>
    <t>x14</t>
  </si>
  <si>
    <t>y14</t>
  </si>
  <si>
    <t>x15</t>
  </si>
  <si>
    <t>y15</t>
  </si>
  <si>
    <t>x16</t>
  </si>
  <si>
    <t>y16</t>
  </si>
  <si>
    <t>x17</t>
  </si>
  <si>
    <t>y17</t>
  </si>
  <si>
    <t>x18</t>
  </si>
  <si>
    <t>y18</t>
  </si>
  <si>
    <t>x19</t>
  </si>
  <si>
    <t>y19</t>
  </si>
  <si>
    <t>x20</t>
  </si>
  <si>
    <t>y20</t>
  </si>
  <si>
    <t>y52</t>
  </si>
  <si>
    <t>x11</t>
  </si>
  <si>
    <t>Summary Statistics Table</t>
  </si>
  <si>
    <t>N/A</t>
  </si>
  <si>
    <t>Current Total Dam Literage</t>
  </si>
  <si>
    <t xml:space="preserve">Rouwater </t>
  </si>
  <si>
    <t xml:space="preserve">% consumption vs inflow </t>
  </si>
  <si>
    <t>Hoedruk</t>
  </si>
  <si>
    <t>Supplementary Pump</t>
  </si>
  <si>
    <t>Consumption l/h 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</si>
</sst>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NumberFormat="1"/>
    <xf numFmtId="0" fontId="3" fillId="0" borderId="1" xfId="0" applyFont="1" applyBorder="1"/>
    <xf numFmtId="0" fontId="4" fillId="2" borderId="0" xfId="0" applyFont="1" applyFill="1" applyBorder="1"/>
    <xf numFmtId="0" fontId="0" fillId="0" borderId="0" xfId="0" applyFont="1"/>
    <xf numFmtId="3" fontId="4" fillId="0" borderId="0" xfId="0" applyNumberFormat="1" applyFont="1" applyBorder="1"/>
    <xf numFmtId="3" fontId="0" fillId="0" borderId="0" xfId="0" applyNumberFormat="1"/>
    <xf numFmtId="22" fontId="0" fillId="0" borderId="0" xfId="0" applyNumberFormat="1"/>
    <xf numFmtId="22" fontId="0" fillId="0" borderId="0" xfId="0" applyNumberFormat="1" applyFont="1"/>
    <xf numFmtId="22" fontId="4" fillId="2" borderId="0" xfId="0" applyNumberFormat="1" applyFont="1" applyFill="1" applyBorder="1"/>
    <xf numFmtId="22" fontId="0" fillId="0" borderId="0" xfId="0" applyNumberFormat="1"/>
    <xf numFmtId="0" fontId="1" fillId="4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1" fillId="4" borderId="6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  <xf numFmtId="22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0" fontId="1" fillId="5" borderId="0" xfId="0" applyFont="1" applyFill="1" applyAlignment="1">
      <alignment horizontal="left"/>
    </xf>
    <xf numFmtId="3" fontId="0" fillId="4" borderId="4" xfId="0" applyNumberFormat="1" applyFill="1" applyBorder="1" applyAlignment="1">
      <alignment horizontal="left"/>
    </xf>
    <xf numFmtId="3" fontId="0" fillId="4" borderId="5" xfId="0" applyNumberFormat="1" applyFill="1" applyBorder="1" applyAlignment="1">
      <alignment horizontal="left"/>
    </xf>
    <xf numFmtId="3" fontId="1" fillId="4" borderId="2" xfId="0" applyNumberFormat="1" applyFont="1" applyFill="1" applyBorder="1" applyAlignment="1">
      <alignment horizontal="left"/>
    </xf>
    <xf numFmtId="3" fontId="0" fillId="4" borderId="3" xfId="0" applyNumberFormat="1" applyFill="1" applyBorder="1" applyAlignment="1">
      <alignment horizontal="left"/>
    </xf>
    <xf numFmtId="3" fontId="0" fillId="5" borderId="0" xfId="0" applyNumberFormat="1" applyFill="1" applyAlignment="1">
      <alignment horizontal="left"/>
    </xf>
    <xf numFmtId="10" fontId="0" fillId="4" borderId="4" xfId="0" applyNumberFormat="1" applyFill="1" applyBorder="1" applyAlignment="1">
      <alignment horizontal="left"/>
    </xf>
    <xf numFmtId="10" fontId="0" fillId="4" borderId="8" xfId="0" applyNumberFormat="1" applyFill="1" applyBorder="1" applyAlignment="1">
      <alignment horizontal="left"/>
    </xf>
    <xf numFmtId="3" fontId="0" fillId="4" borderId="7" xfId="0" applyNumberFormat="1" applyFill="1" applyBorder="1" applyAlignment="1">
      <alignment horizontal="left"/>
    </xf>
    <xf numFmtId="22" fontId="1" fillId="4" borderId="3" xfId="0" applyNumberFormat="1" applyFont="1" applyFill="1" applyBorder="1" applyAlignment="1">
      <alignment horizontal="left"/>
    </xf>
    <xf numFmtId="22" fontId="0" fillId="0" borderId="0" xfId="0" applyNumberFormat="1"/>
    <xf numFmtId="164" fontId="3" fillId="0" borderId="1" xfId="0" applyNumberFormat="1" applyFont="1" applyBorder="1"/>
    <xf numFmtId="164" fontId="4" fillId="0" borderId="0" xfId="0" applyNumberFormat="1" applyFont="1" applyBorder="1"/>
    <xf numFmtId="164" fontId="0" fillId="0" borderId="0" xfId="0" applyNumberFormat="1"/>
  </cellXfs>
  <cellStyles count="1">
    <cellStyle name="Normal" xfId="0" builtinId="0"/>
  </cellStyles>
  <dxfs count="81">
    <dxf>
      <numFmt numFmtId="164" formatCode="yyyy/mm/dd\ hh:mm"/>
    </dxf>
    <dxf>
      <font>
        <b val="0"/>
      </font>
      <numFmt numFmtId="164" formatCode="yyyy/mm/dd\ hh:mm"/>
    </dxf>
    <dxf>
      <font>
        <b val="0"/>
      </font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27" formatCode="yyyy/mm/dd\ hh:mm"/>
      <fill>
        <patternFill patternType="solid">
          <fgColor theme="4" tint="0.79998168889431442"/>
          <bgColor theme="4" tint="0.79998168889431442"/>
        </patternFill>
      </fill>
    </dxf>
    <dxf>
      <border outline="0"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</dxf>
    <dxf>
      <numFmt numFmtId="27" formatCode="yyyy/mm/dd\ hh:mm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font>
        <b val="0"/>
      </font>
      <numFmt numFmtId="3" formatCode="#,##0"/>
    </dxf>
    <dxf>
      <border outline="0">
        <top style="thin">
          <color theme="4"/>
        </top>
      </border>
    </dxf>
    <dxf>
      <font>
        <b val="0"/>
      </font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yyyy/mm/dd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1</xdr:row>
          <xdr:rowOff>30480</xdr:rowOff>
        </xdr:from>
        <xdr:to>
          <xdr:col>8</xdr:col>
          <xdr:colOff>891540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Measurements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0F4F7-7587-4D5B-A580-B71A682C1385}" name="Dam_Measurements" displayName="Dam_Measurements" ref="A2:G4" totalsRowShown="0">
  <tableColumns count="7">
    <tableColumn id="8" xr3:uid="{2009767B-6623-42AB-A4E3-C34EB7146EEF}" name="Date" dataDxfId="80"/>
    <tableColumn id="1" xr3:uid="{82086332-79B9-4936-A9F0-0D3D4C8236D2}" name="Rouwater"/>
    <tableColumn id="2" xr3:uid="{4517CE69-F74E-4E01-97AC-25877F39F3C8}" name="Klippies"/>
    <tableColumn id="3" xr3:uid="{9DE151C9-B0A7-441E-89C4-B933A2F6742D}" name="Staandak"/>
    <tableColumn id="4" xr3:uid="{C3562186-020A-434B-9368-64833C60A477}" name="Hoedruk"/>
    <tableColumn id="6" xr3:uid="{5CEF9F14-5345-4409-B0E1-5E4B127A9833}" name="NoordEnd1"/>
    <tableColumn id="7" xr3:uid="{3FE75479-818B-47E8-A176-F2BB5BEEED0B}" name="NoordEnd2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854DEBB-1712-40D8-88D3-D1620EFF9D51}" name="Borehole_Measurements" displayName="Borehole_Measurements" ref="N3:W4" totalsRowShown="0" headerRowDxfId="79" dataDxfId="78">
  <tableColumns count="10">
    <tableColumn id="10" xr3:uid="{4A3FC7A4-425D-4600-BDAB-C0EFBD956343}" name="Date" dataDxfId="77"/>
    <tableColumn id="1" xr3:uid="{88E0FB35-2C53-4C2F-88CF-014CE66858F3}" name="SRK" dataDxfId="76"/>
    <tableColumn id="2" xr3:uid="{2A66DF2A-6F1B-4BFD-9CF9-64C584C383B7}" name="Borehole1" dataDxfId="75"/>
    <tableColumn id="3" xr3:uid="{253FCD21-9AD8-4214-8ACE-6B3D65E3F8E9}" name="Borehole2" dataDxfId="74"/>
    <tableColumn id="4" xr3:uid="{4F0987D2-6DB4-491D-A59F-24BB7F334858}" name="Borehole3" dataDxfId="73"/>
    <tableColumn id="5" xr3:uid="{80A4D808-0955-4207-9592-A91DE9551F8C}" name="Borehole4" dataDxfId="72"/>
    <tableColumn id="6" xr3:uid="{68C1FA5F-30C6-4656-B07B-BF8D954B1558}" name="Borehole5" dataDxfId="71"/>
    <tableColumn id="7" xr3:uid="{7AD4CDC5-F41D-48D1-813F-BF63010C250C}" name="Borehole6" dataDxfId="70"/>
    <tableColumn id="8" xr3:uid="{7040EB56-4CAB-4EB9-AA68-1E8EC3FA5C08}" name="Borehole7" dataDxfId="69"/>
    <tableColumn id="9" xr3:uid="{3F2792DB-EE5C-4F1E-B004-C00A8D8C417B}" name="Borehole8" dataDxfId="68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B5F743-224B-4682-A2A6-698D8CF94CBF}" name="GroundwaterMeasurements" displayName="GroundwaterMeasurements" ref="J3:L5" totalsRowShown="0">
  <tableColumns count="3">
    <tableColumn id="3" xr3:uid="{A6EE4DFA-C9A2-46E3-B45B-2B79BBB35181}" name="Date" dataDxfId="67"/>
    <tableColumn id="1" xr3:uid="{FE98CEEA-D52F-4F58-B46D-873526408E7A}" name="ParshallFlume"/>
    <tableColumn id="2" xr3:uid="{352421E3-2E69-414E-AA70-5B8FACC63448}" name="Supplementary Pump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260F2E-F940-433E-BDC6-096B792394E6}" name="Consolidated_Literage" displayName="Consolidated_Literage" ref="A2:R4" totalsRowShown="0" headerRowDxfId="66" dataDxfId="64" headerRowBorderDxfId="65" tableBorderDxfId="63">
  <tableColumns count="18">
    <tableColumn id="1" xr3:uid="{B317A3CF-DA1D-4A28-B779-0332A288637E}" name="Date" dataDxfId="1"/>
    <tableColumn id="2" xr3:uid="{C23C6763-F056-49AF-8065-6CCBB3B2764E}" name="Rouwater" dataDxfId="2"/>
    <tableColumn id="3" xr3:uid="{DE09508E-1F6B-4BE4-ABC3-054F7856C63C}" name="Klippies" dataDxfId="62"/>
    <tableColumn id="4" xr3:uid="{7915100D-BABE-4DDA-A930-4538669764E0}" name="Staandak" dataDxfId="61"/>
    <tableColumn id="5" xr3:uid="{278BDDE4-8176-425D-9079-11A2D252D625}" name="Hoedruk" dataDxfId="60"/>
    <tableColumn id="6" xr3:uid="{A9F43325-8F36-4585-800A-3AC7F6342553}" name="NoordEnd1" dataDxfId="59"/>
    <tableColumn id="7" xr3:uid="{650ACEFF-5DBD-4FB3-85FD-15FCD7351DB6}" name="NoordEnd2" dataDxfId="58"/>
    <tableColumn id="8" xr3:uid="{81AB4A4E-8131-4E0F-9BA1-9925D41ECC49}" name="Parshall Flume" dataDxfId="57"/>
    <tableColumn id="9" xr3:uid="{E80094A1-69E2-41B0-83B1-C67D82E63C9D}" name="Supplementary Pump" dataDxfId="56"/>
    <tableColumn id="12" xr3:uid="{2B180CC0-F4BD-463E-A4B7-6EDC66D785F8}" name="SRK" dataDxfId="55"/>
    <tableColumn id="13" xr3:uid="{44257EAD-8CCD-4400-BE55-5EC0D60A1248}" name="Borehole2" dataDxfId="54"/>
    <tableColumn id="14" xr3:uid="{B6FA65A1-5C19-4569-BEE8-F5B97686C217}" name="Borehole3" dataDxfId="53"/>
    <tableColumn id="15" xr3:uid="{C431A3B6-3B41-4AC8-AC56-03D233CED8BF}" name="Borehole4" dataDxfId="52"/>
    <tableColumn id="16" xr3:uid="{0A837231-E9BA-4A7A-ADC1-A65F6A423174}" name="Borehole5" dataDxfId="51"/>
    <tableColumn id="17" xr3:uid="{299EF8E2-94EC-4D4D-B9D9-E647793B9732}" name="Borehole6" dataDxfId="50"/>
    <tableColumn id="18" xr3:uid="{59815CAE-7D67-43D9-A7D8-0E14A24F096E}" name="Borehole7" dataDxfId="49"/>
    <tableColumn id="19" xr3:uid="{585D5DE8-204A-48FA-BB5F-722FDF521A6C}" name="Borehole8" dataDxfId="48"/>
    <tableColumn id="20" xr3:uid="{2BE2B92F-4DD5-4EB6-8415-5A07FDBC38C3}" name="Borehole9" dataDxfId="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4A06D3-A5C6-43B7-8E01-267A86BC436B}" name="Dam_Literage" displayName="Dam_Literage" ref="A2:G4" totalsRowShown="0">
  <tableColumns count="7">
    <tableColumn id="1" xr3:uid="{03665584-F615-4DBF-92CE-ED55F163D93D}" name="Date" dataDxfId="46">
      <calculatedColumnFormula>Dam_Measurements[[#This Row],[Date]]</calculatedColumnFormula>
    </tableColumn>
    <tableColumn id="2" xr3:uid="{CAE20647-48A6-40BA-BA69-F8D716466831}" name="Rouwater">
      <calculatedColumnFormula>Dam_Measurements[[#This Row],[Rouwater]]/Dam_Height[Rouwater] *Dam_Capacity[Rouwater]</calculatedColumnFormula>
    </tableColumn>
    <tableColumn id="3" xr3:uid="{683AE3AE-2A22-4A35-97BC-DE260F2ED999}" name="Klippies">
      <calculatedColumnFormula>Dam_Measurements[[#This Row],[Klippies]]/Dam_Height[Klippies] *Dam_Capacity[Klippies]</calculatedColumnFormula>
    </tableColumn>
    <tableColumn id="4" xr3:uid="{1B805E8A-3EF3-4D8D-8AE3-ED0984C6300A}" name="Staandak">
      <calculatedColumnFormula>Dam_Measurements[[#This Row],[Staandak]]/Dam_Height[Staandak] *Dam_Capacity[Staandak]</calculatedColumnFormula>
    </tableColumn>
    <tableColumn id="5" xr3:uid="{1B383412-9027-484E-8398-06737EBD1B8D}" name="Koppies">
      <calculatedColumnFormula>Dam_Measurements[[#This Row],[Hoedruk]]/Dam_Height[Koppies] *Dam_Capacity[Koppies]</calculatedColumnFormula>
    </tableColumn>
    <tableColumn id="7" xr3:uid="{4ED37DE6-AA4C-4A70-B5D1-D73BD7ABFB60}" name="NoordEnd1">
      <calculatedColumnFormula>Dam_Measurements[[#This Row],[NoordEnd1]]/Dam_Height[Noord-end1] *Dam_Capacity[Noord-end1]</calculatedColumnFormula>
    </tableColumn>
    <tableColumn id="8" xr3:uid="{AC844136-02E2-46D4-B1B7-C0AB47CC24D8}" name="NoordEnd2">
      <calculatedColumnFormula>Dam_Measurements[[#This Row],[NoordEnd2]]/Dam_Height[Noord-end2] *Dam_Capacity[Noord-end2]</calculatedColumnFormula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2788B1B-BEC2-4109-899E-497733BF4D84}" name="Groundwater_Literage" displayName="Groundwater_Literage" ref="I3:K5" totalsRowShown="0">
  <tableColumns count="3">
    <tableColumn id="3" xr3:uid="{41D303AC-FBB7-4548-94DB-9A9D0A6BFF58}" name="Date" dataDxfId="45">
      <calculatedColumnFormula>GroundwaterMeasurements[[#This Row],[Date]]</calculatedColumnFormula>
    </tableColumn>
    <tableColumn id="1" xr3:uid="{4630A30F-D671-4184-B894-A66BE84737F2}" name="Parshall Flume" dataDxfId="44">
      <calculatedColumnFormula>GroundwaterMeasurements[[#This Row],[ParshallFlume]]</calculatedColumnFormula>
    </tableColumn>
    <tableColumn id="2" xr3:uid="{AA369681-6465-4426-8F0E-7DAD5CF931A0}" name="Contracted Weir" dataDxfId="43">
      <calculatedColumnFormula>GroundwaterMeasurements[[#This Row],[Supplementary Pump]]</calculatedColumnFormula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2398CA-E0C8-4871-89EE-F85B47250595}" name="Borehole_Literage" displayName="Borehole_Literage" ref="M3:V4" totalsRowShown="0" headerRowDxfId="42" dataDxfId="41">
  <tableColumns count="10">
    <tableColumn id="10" xr3:uid="{BCE8BF6A-89E7-4780-80C7-1D3F7D13F025}" name="Date" dataDxfId="40">
      <calculatedColumnFormula>Borehole_Measurements[[#This Row],[Date]]</calculatedColumnFormula>
    </tableColumn>
    <tableColumn id="1" xr3:uid="{E0976E51-CDE8-470A-9FE3-89CBAD31DF34}" name="SRK" dataDxfId="39">
      <calculatedColumnFormula>Borehole_Measurements[[#This Row],[SRK]]</calculatedColumnFormula>
    </tableColumn>
    <tableColumn id="2" xr3:uid="{761A32B7-0ED1-464C-9232-A8ED296F645B}" name="Borehole1" dataDxfId="38">
      <calculatedColumnFormula>Borehole_Measurements[[#This Row],[Borehole1]]</calculatedColumnFormula>
    </tableColumn>
    <tableColumn id="3" xr3:uid="{611348BE-C04C-42E2-BAB5-27F0E1C787E2}" name="Borehole2" dataDxfId="37">
      <calculatedColumnFormula>Borehole_Measurements[[#This Row],[Borehole2]]</calculatedColumnFormula>
    </tableColumn>
    <tableColumn id="4" xr3:uid="{59BA87A1-D9A3-4A7D-84B6-BE625B1AEEB6}" name="Borehole3" dataDxfId="36">
      <calculatedColumnFormula>Borehole_Measurements[[#This Row],[Borehole3]]</calculatedColumnFormula>
    </tableColumn>
    <tableColumn id="5" xr3:uid="{6B4A2272-340F-4A5E-8BC6-94EA1FC02350}" name="Borehole4" dataDxfId="35">
      <calculatedColumnFormula>Borehole_Measurements[[#This Row],[Borehole4]]</calculatedColumnFormula>
    </tableColumn>
    <tableColumn id="6" xr3:uid="{CDDA1681-0762-46E0-ABDD-D0F16C693DE7}" name="Borehole5" dataDxfId="34">
      <calculatedColumnFormula>Borehole_Measurements[[#This Row],[Borehole5]]</calculatedColumnFormula>
    </tableColumn>
    <tableColumn id="7" xr3:uid="{94091556-5B44-4B72-8ACF-D313FC30CB8C}" name="Borehole6" dataDxfId="33">
      <calculatedColumnFormula>Borehole_Measurements[[#This Row],[Borehole6]]</calculatedColumnFormula>
    </tableColumn>
    <tableColumn id="8" xr3:uid="{BAB8504C-0768-454A-A7E5-6AF0CD8D0A1F}" name="Borehole7" dataDxfId="32">
      <calculatedColumnFormula>Borehole_Measurements[[#This Row],[Borehole7]]</calculatedColumnFormula>
    </tableColumn>
    <tableColumn id="9" xr3:uid="{81AA003E-8F28-4976-B5A4-D2CEDB55D70D}" name="Borehole8" dataDxfId="31">
      <calculatedColumnFormula>Borehole_Measurements[[#This Row],[Borehole8]]</calculatedColumnFormula>
    </tableColumn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9A39DBB-FB19-437B-BDC6-99AA06F13D98}" name="DamLiterageFormulae" displayName="DamLiterageFormulae" ref="A2:G3" totalsRowShown="0" headerRowDxfId="30" dataDxfId="28" headerRowBorderDxfId="29" tableBorderDxfId="27">
  <tableColumns count="7">
    <tableColumn id="1" xr3:uid="{956927E1-2222-4C6C-81E5-40107AF75F30}" name="Date" dataDxfId="26">
      <calculatedColumnFormula>Dam_Measurements[[#This Row],[Date]]</calculatedColumnFormula>
    </tableColumn>
    <tableColumn id="2" xr3:uid="{B78FCFE2-079A-4B1B-B573-4112EE7D78AE}" name="Rouwater" dataDxfId="25">
      <calculatedColumnFormula>Dam_Measurements[[#This Row],[Rouwater]]/Dam_Height[Rouwater] *Dam_Capacity[Rouwater]</calculatedColumnFormula>
    </tableColumn>
    <tableColumn id="3" xr3:uid="{CBA1E593-475A-410F-8B30-A29ADEFF34CF}" name="Klippies" dataDxfId="24">
      <calculatedColumnFormula>Dam_Measurements[[#This Row],[Klippies]]/Dam_Height[Klippies] *Dam_Capacity[Klippies]</calculatedColumnFormula>
    </tableColumn>
    <tableColumn id="4" xr3:uid="{90C05655-2855-41A4-AB2B-7692EB80CE94}" name="Staandak" dataDxfId="23">
      <calculatedColumnFormula>Dam_Measurements[[#This Row],[Staandak]]/Dam_Height[Staandak] *Dam_Capacity[Staandak]</calculatedColumnFormula>
    </tableColumn>
    <tableColumn id="5" xr3:uid="{8386885A-A762-472D-94FF-0A9BF20830F1}" name="Koppies" dataDxfId="22">
      <calculatedColumnFormula>Dam_Measurements[[#This Row],[Hoedruk]]/Dam_Height[Koppies] *Dam_Capacity[Koppies]</calculatedColumnFormula>
    </tableColumn>
    <tableColumn id="6" xr3:uid="{E50C61F9-E110-4667-A58F-0E33B36938FD}" name="NoordEnd1" dataDxfId="21">
      <calculatedColumnFormula>Dam_Measurements[[#This Row],[NoordEnd1]]/Dam_Height[Noord-end1] *Dam_Capacity[Noord-end1]</calculatedColumnFormula>
    </tableColumn>
    <tableColumn id="7" xr3:uid="{B566D6F7-0912-4F0F-B9D4-F8559CE3244C}" name="NoordEnd2" dataDxfId="20">
      <calculatedColumnFormula>Dam_Measurements[[#This Row],[NoordEnd2]]/Dam_Height[Noord-end2] *Dam_Capacity[Noord-end2]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2829C5-5510-4E6F-85D0-424300EE587E}" name="GroundwaterFormulae" displayName="GroundwaterFormulae" ref="I3:K4" totalsRowShown="0">
  <tableColumns count="3">
    <tableColumn id="3" xr3:uid="{1E3AC358-8021-4A12-8F54-C31CCCAE29DD}" name="Date" dataDxfId="19">
      <calculatedColumnFormula>GroundwaterMeasurements[[#This Row],[Date]]</calculatedColumnFormula>
    </tableColumn>
    <tableColumn id="1" xr3:uid="{6894BE98-3DC8-44E1-A61B-605B37EAF865}" name="Parshall Flume">
      <calculatedColumnFormula>GroundwaterMeasurements[[#This Row],[ParshallFlume]]</calculatedColumnFormula>
    </tableColumn>
    <tableColumn id="2" xr3:uid="{B3351379-129A-4DC4-B0F4-A33FA9F0E10C}" name="Contracted Weir">
      <calculatedColumnFormula>GroundwaterMeasurements[[#This Row],[Supplementary Pump]]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BD98AEA-7220-43F6-9E54-9FF56BA05B8E}" name="Borehole_Formulae" displayName="Borehole_Formulae" ref="M3:V4" totalsRowShown="0" headerRowDxfId="18" dataDxfId="17">
  <tableColumns count="10">
    <tableColumn id="10" xr3:uid="{8521D7EE-6D1C-4271-B9DE-C2B248AF6762}" name="Date" dataDxfId="16">
      <calculatedColumnFormula>Borehole_Measurements[[#This Row],[Date]]</calculatedColumnFormula>
    </tableColumn>
    <tableColumn id="1" xr3:uid="{32EB569E-3EEF-449C-913C-0FA27DE1B1B9}" name="SRK" dataDxfId="15">
      <calculatedColumnFormula>Borehole_Measurements[[#This Row],[SRK]]</calculatedColumnFormula>
    </tableColumn>
    <tableColumn id="2" xr3:uid="{8BD764E4-3BA3-4320-9366-B487DA9513B1}" name="Borehole1" dataDxfId="14">
      <calculatedColumnFormula>Borehole_Measurements[[#This Row],[Borehole1]]</calculatedColumnFormula>
    </tableColumn>
    <tableColumn id="3" xr3:uid="{6DC77E21-1701-4B5E-A575-7B8CB87E6A8A}" name="Borehole2" dataDxfId="13">
      <calculatedColumnFormula>Borehole_Measurements[[#This Row],[Borehole2]]</calculatedColumnFormula>
    </tableColumn>
    <tableColumn id="4" xr3:uid="{7BAB5AD8-863F-482D-B838-65A54AF8907E}" name="Borehole3" dataDxfId="12">
      <calculatedColumnFormula>Borehole_Measurements[[#This Row],[Borehole3]]</calculatedColumnFormula>
    </tableColumn>
    <tableColumn id="5" xr3:uid="{C3EB0147-02B8-49D0-995B-138B272EA150}" name="Borehole4" dataDxfId="11">
      <calculatedColumnFormula>Borehole_Measurements[[#This Row],[Borehole4]]</calculatedColumnFormula>
    </tableColumn>
    <tableColumn id="6" xr3:uid="{FC934944-A4E8-4687-90E7-397D9B5263EC}" name="Borehole5" dataDxfId="10">
      <calculatedColumnFormula>Borehole_Measurements[[#This Row],[Borehole5]]</calculatedColumnFormula>
    </tableColumn>
    <tableColumn id="7" xr3:uid="{9C70CEB6-AE79-42CB-B741-D17B5CA35E17}" name="Borehole6" dataDxfId="9">
      <calculatedColumnFormula>Borehole_Measurements[[#This Row],[Borehole6]]</calculatedColumnFormula>
    </tableColumn>
    <tableColumn id="8" xr3:uid="{BE6B4AD0-21DD-485D-962C-D3CA8EA6DE55}" name="Borehole7" dataDxfId="8">
      <calculatedColumnFormula>Borehole_Measurements[[#This Row],[Borehole7]]</calculatedColumnFormula>
    </tableColumn>
    <tableColumn id="9" xr3:uid="{76AC0DE1-10B4-47B7-8613-8F1D74355F6B}" name="Borehole8" dataDxfId="7">
      <calculatedColumnFormula>Borehole_Measurements[[#This Row],[Borehole8]]</calculatedColumnFormula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7AE91A-DD5E-483C-A0BF-7877CA850AC6}" name="SummaryStatisticsFormulae" displayName="SummaryStatisticsFormulae" ref="X2:AQ3" totalsRowShown="0">
  <tableColumns count="20">
    <tableColumn id="1" xr3:uid="{13FB645A-38E4-4A63-89E2-6C95D49BE07E}" name="Date/Time">
      <calculatedColumnFormula>Consolidated_Literage[[#This Row],[Date]]</calculatedColumnFormula>
    </tableColumn>
    <tableColumn id="2" xr3:uid="{A49B950E-FA36-4AAC-823D-1CEEEA405417}" name="Total Dam Literage">
      <calculatedColumnFormula>SUM(Consolidated_Literage[[#This Row],[Rouwater]:[NoordEnd2]])</calculatedColumnFormula>
    </tableColumn>
    <tableColumn id="3" xr3:uid="{E458CEE1-76AA-4A6E-A1AE-3AC8F00628ED}" name="Total Dam Capacity">
      <calculatedColumnFormula>SUM(Dam_Capacity[])</calculatedColumnFormula>
    </tableColumn>
    <tableColumn id="4" xr3:uid="{B723F3B9-43F1-491B-99FD-566FA4EDF8B4}" name="% Full">
      <calculatedColumnFormula>SummaryStatisticsFormulae[[#This Row],[Total Dam Literage]]/SummaryStatisticsFormulae[[#This Row],[Total Dam Capacity]]</calculatedColumnFormula>
    </tableColumn>
    <tableColumn id="5" xr3:uid="{9B1AAF75-1F92-4B6F-8558-A6B923E7B2FB}" name="Current Inflow l/h">
      <calculatedColumnFormula>(Consolidated_Literage[[#This Row],[Parshall Flume]] - 23000) * 0.1 + SUM(Consolidated_Literage[[#This Row],[SRK]:[Borehole9]]) + Consolidated_Literage[[#This Row],[Supplementary Pump]]</calculatedColumnFormula>
    </tableColumn>
    <tableColumn id="6" xr3:uid="{512FEBC5-376D-4E45-8581-FF9FB89ECE8A}" name="Consumption l/h" dataDxfId="6"/>
    <tableColumn id="7" xr3:uid="{21565011-99B3-41FB-BAF9-9A691B5B370F}" name="% consumption">
      <calculatedColumnFormula>SummaryStatisticsFormulae[[#This Row],[Consumption l/h]]/SummaryStatisticsFormulae[[#This Row],[Current Inflow l/h]]</calculatedColumnFormula>
    </tableColumn>
    <tableColumn id="8" xr3:uid="{2441DB51-3168-41AC-A019-30D2448FFA3C}" name="DamLiterage1">
      <calculatedColumnFormula>Consolidated_Literage[[#This Row],[Rouwater]]</calculatedColumnFormula>
    </tableColumn>
    <tableColumn id="9" xr3:uid="{14BA3990-0728-45B8-B099-D458145BC9C5}" name="DamLiterage2">
      <calculatedColumnFormula>Consolidated_Literage[[#This Row],[Staandak]]</calculatedColumnFormula>
    </tableColumn>
    <tableColumn id="10" xr3:uid="{C70BDAD5-A0C2-4E5A-A7BC-778EB7231A5C}" name="DamLiterage3">
      <calculatedColumnFormula>Consolidated_Literage[[#This Row],[Klippies]]</calculatedColumnFormula>
    </tableColumn>
    <tableColumn id="11" xr3:uid="{0D502366-CE16-4240-8596-DD24DB414561}" name="DamLiterage4">
      <calculatedColumnFormula>Consolidated_Literage[[#This Row],[Hoedruk]]</calculatedColumnFormula>
    </tableColumn>
    <tableColumn id="12" xr3:uid="{1E3E834B-D429-4016-B488-6527E5B3164C}" name="DamLiterage5">
      <calculatedColumnFormula>Consolidated_Literage[[#This Row],[NoordEnd1]]</calculatedColumnFormula>
    </tableColumn>
    <tableColumn id="13" xr3:uid="{970C349B-0FEA-487C-B1C7-CE6B8DAC8A7D}" name="DamLiterage6">
      <calculatedColumnFormula>Consolidated_Literage[[#This Row],[NoordEnd2]]</calculatedColumnFormula>
    </tableColumn>
    <tableColumn id="14" xr3:uid="{457B8D78-9226-4F71-876B-B5F79E19CD81}" name="Dam%1">
      <calculatedColumnFormula>Consolidated_Literage[[#This Row],[Rouwater]]/Dam_Capacity[Rouwater]</calculatedColumnFormula>
    </tableColumn>
    <tableColumn id="15" xr3:uid="{5AFDD684-D71B-4A52-B134-BFAE687BB42D}" name="Dam%2">
      <calculatedColumnFormula>Consolidated_Literage[[#This Row],[Staandak]]/Dam_Capacity[Staandak]</calculatedColumnFormula>
    </tableColumn>
    <tableColumn id="16" xr3:uid="{39FD9003-4D87-46A8-B822-12DCA2260284}" name="Dam%3">
      <calculatedColumnFormula>Consolidated_Literage[[#This Row],[Klippies]]/Dam_Capacity[Klippies]</calculatedColumnFormula>
    </tableColumn>
    <tableColumn id="17" xr3:uid="{616E4AD5-CDFE-4CC9-82F8-17F37A263F92}" name="Dam%4">
      <calculatedColumnFormula>Consolidated_Literage[[#This Row],[Hoedruk]]/Dam_Capacity[Koppies]</calculatedColumnFormula>
    </tableColumn>
    <tableColumn id="18" xr3:uid="{8FC8C630-9FA1-42F4-9973-908F8FE7E73A}" name="Dam%5">
      <calculatedColumnFormula>Consolidated_Literage[[#This Row],[NoordEnd1]]/Dam_Capacity[Noord-end1]</calculatedColumnFormula>
    </tableColumn>
    <tableColumn id="19" xr3:uid="{CE64180F-0051-4EC0-92A8-C7B82E3CB46E}" name="Dam%6">
      <calculatedColumnFormula>Consolidated_Literage[[#This Row],[NoordEnd2]]/Dam_Capacity[Noord-end2]</calculatedColumnFormula>
    </tableColumn>
    <tableColumn id="20" xr3:uid="{0F085723-8778-4617-B2C0-87EAB48C8320}" name="Days till Day Zero">
      <calculatedColumnFormula>IF(SummaryStatisticsFormulae[[#This Row],[Current Inflow l/h]]&gt;=SummaryStatisticsFormulae[[#This Row],[Consumption l/h]], "N/A", SummaryStatisticsFormulae[[#This Row],[Total Dam Literage]]/((SummaryStatisticsFormulae[[#This Row],[Consumption l/h]]-SummaryStatisticsFormulae[[#This Row],[Current Inflow l/h]])*24))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3BBECD-1C94-418B-AA16-7C3E0E9DCDB3}" name="Dam_Height" displayName="Dam_Height" ref="A2:F3" totalsRowShown="0">
  <tableColumns count="6">
    <tableColumn id="1" xr3:uid="{C1093884-3BE7-4109-9D1F-BEE8646E191C}" name="Rouwater"/>
    <tableColumn id="2" xr3:uid="{A59A6D3F-6A42-4D18-9CEA-A887BA4B90A9}" name="Klippies"/>
    <tableColumn id="3" xr3:uid="{FCA22C31-301B-4766-A126-E257AC0D3EB9}" name="Staandak"/>
    <tableColumn id="4" xr3:uid="{88CD9386-70F3-4436-B677-ACE9C60E5B29}" name="Koppies"/>
    <tableColumn id="6" xr3:uid="{E115EB86-3686-4D1A-B25F-B22EE8430A51}" name="Noord-end1"/>
    <tableColumn id="7" xr3:uid="{705F48A3-C148-4C20-AF6D-3624C80F40F3}" name="Noord-end2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5C5B7E-825C-465B-92DD-9B16982BB1A6}" name="Dam_Capacity" displayName="Dam_Capacity" ref="A7:F8" totalsRowShown="0">
  <tableColumns count="6">
    <tableColumn id="1" xr3:uid="{2E946B1A-32AD-4425-A612-54210E17E10B}" name="Rouwater"/>
    <tableColumn id="2" xr3:uid="{3726ABD5-D4A2-4108-B232-D64B7FA7635E}" name="Klippies"/>
    <tableColumn id="3" xr3:uid="{729D7974-85F3-4889-B000-98E552640E8A}" name="Staandak"/>
    <tableColumn id="4" xr3:uid="{24B5FBA2-87F1-49BF-98FC-74BED4EFD6CA}" name="Koppies"/>
    <tableColumn id="6" xr3:uid="{D7E09567-855B-4F57-98B0-D17958F10483}" name="Noord-end1"/>
    <tableColumn id="7" xr3:uid="{3D3ABE63-0A07-496E-A448-262DA3B88E53}" name="Noord-end2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64A5AC-B467-4879-96B9-6F90D6D062C3}" name="ParshallFlowConstants" displayName="ParshallFlowConstants" ref="A11:B12" totalsRowShown="0">
  <tableColumns count="2">
    <tableColumn id="1" xr3:uid="{3D60099D-55B5-49FE-AEEC-FD8AC1057657}" name="Coefficient"/>
    <tableColumn id="2" xr3:uid="{B70AC1F5-89DD-40B2-B78F-FFFC0E4AD350}" name="Exponent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14F07D6-DE13-40CC-A5FF-012C2357CF01}" name="ContractedWeirConstants" displayName="ContractedWeirConstants" ref="A15:D16" totalsRowShown="0">
  <tableColumns count="4">
    <tableColumn id="1" xr3:uid="{A6CF415D-D64F-4CB5-9FB2-BE09CF732535}" name="Coefficient1"/>
    <tableColumn id="6" xr3:uid="{6A640A92-56BF-4E1C-8F59-A9104F8F24E3}" name="Coefficient2"/>
    <tableColumn id="2" xr3:uid="{835143F7-21FB-452E-A39B-53AB836BCF6A}" name="Width"/>
    <tableColumn id="5" xr3:uid="{AAD6B31C-754E-4EAE-BD8E-6452EC73C969}" name="Height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1589483-494A-4B51-859A-A952298C6FC3}" name="Gravity" displayName="Gravity" ref="E11:E12" totalsRowShown="0">
  <tableColumns count="1">
    <tableColumn id="1" xr3:uid="{964F6013-6529-423E-A068-96F39E04EA1C}" name="Force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5622EAB-D4DE-42DF-8B4D-53E4F0E7164A}" name="SummaryStatisticsMapping" displayName="SummaryStatisticsMapping" ref="A20:AN21" totalsRowShown="0">
  <tableColumns count="40">
    <tableColumn id="23" xr3:uid="{0F5EF778-6231-4BD5-9B14-0B637E9B732E}" name="x1"/>
    <tableColumn id="24" xr3:uid="{E918F4D8-2DA2-4048-80B7-5E3023D9F141}" name="y1"/>
    <tableColumn id="25" xr3:uid="{898E3989-C142-48AD-8025-6AD3841C4632}" name="x2"/>
    <tableColumn id="26" xr3:uid="{A7D54920-03B8-4CB0-8D07-E131191A8BEA}" name="y2"/>
    <tableColumn id="27" xr3:uid="{8B977D0D-C003-41E9-9703-4747CFB4DE59}" name="x3"/>
    <tableColumn id="28" xr3:uid="{8BB32FBE-4670-405C-B762-E34FD9EE5E11}" name="y3"/>
    <tableColumn id="29" xr3:uid="{9FBE2EFC-897E-4D99-9F28-854DA8D399FA}" name="x4"/>
    <tableColumn id="30" xr3:uid="{9D5A2F10-DCE0-4857-BAE1-DCBB474F602F}" name="y5"/>
    <tableColumn id="31" xr3:uid="{993FA91D-5BF8-4E80-BCCE-A424C74E4F52}" name="x5"/>
    <tableColumn id="32" xr3:uid="{2A1491C0-4F48-4206-997A-244F633DC78B}" name="y52"/>
    <tableColumn id="33" xr3:uid="{1738286E-C9C5-45C0-8EFE-158BBCE52445}" name="x6"/>
    <tableColumn id="34" xr3:uid="{F912B7F0-114A-463D-972B-C42E871D82B8}" name="y6"/>
    <tableColumn id="35" xr3:uid="{9DCB9C71-29B6-4C31-8435-2728B026C272}" name="x7"/>
    <tableColumn id="36" xr3:uid="{376B495F-46FA-453C-A288-9C9BBD404B6B}" name="y7"/>
    <tableColumn id="37" xr3:uid="{24438A93-AE45-482B-AA51-F3B68D95AF79}" name="x8"/>
    <tableColumn id="38" xr3:uid="{BF79F6ED-814E-4C48-889F-F60090DEBFFC}" name="y8"/>
    <tableColumn id="39" xr3:uid="{01F51974-0E4C-4650-90AC-2A9018E92D81}" name="x9"/>
    <tableColumn id="40" xr3:uid="{A2A2A071-7256-4A09-8F74-399E11A6A2B8}" name="y9"/>
    <tableColumn id="41" xr3:uid="{4A7E8D08-AD88-44E1-9CBB-089650AC8BE8}" name="x10"/>
    <tableColumn id="42" xr3:uid="{7BABCAA1-C3F4-4121-9671-8DBBE1D528EE}" name="y10"/>
    <tableColumn id="1" xr3:uid="{887AD6D3-540B-4FB9-B01C-736205B409A2}" name="x11"/>
    <tableColumn id="2" xr3:uid="{66FB0262-F3D2-4C34-B70E-7DFDE05E21FD}" name="y11"/>
    <tableColumn id="3" xr3:uid="{3208BDE2-7449-409C-BB4A-20511F4F18EF}" name="x12"/>
    <tableColumn id="4" xr3:uid="{A30739E6-A68B-4566-94CA-1E48BD5F7AB3}" name="y12"/>
    <tableColumn id="5" xr3:uid="{CDD8C25E-4DC5-48FE-AC89-6F90A4CC98AF}" name="x13"/>
    <tableColumn id="6" xr3:uid="{398BC1E9-4ECE-4FAC-AC15-FDA813578492}" name="y13"/>
    <tableColumn id="7" xr3:uid="{EA973ACD-557C-4EC3-8B0C-E9913D592CB6}" name="x14"/>
    <tableColumn id="8" xr3:uid="{540B4022-0815-499F-AD41-371B407F7CEC}" name="y14"/>
    <tableColumn id="9" xr3:uid="{B231A0B4-CEE3-430B-B27B-E37A849DC05A}" name="x15"/>
    <tableColumn id="10" xr3:uid="{858C894F-C42B-4E83-8DB8-A500E48CB4F0}" name="y15"/>
    <tableColumn id="11" xr3:uid="{33284BC3-C712-408E-AA77-93AF7A48B698}" name="x16"/>
    <tableColumn id="12" xr3:uid="{3492A0AA-B7A2-4C2D-A806-E335513CF5A2}" name="y16"/>
    <tableColumn id="13" xr3:uid="{210F8FEB-8E73-48E0-8047-CB43424C2851}" name="x17"/>
    <tableColumn id="14" xr3:uid="{1B2F0853-BA98-41B4-8460-A022AD448C0A}" name="y17"/>
    <tableColumn id="15" xr3:uid="{95BB9DE8-0FF5-4EF7-B8D6-0F93E5B1618F}" name="x18"/>
    <tableColumn id="16" xr3:uid="{39E6F973-1E67-448F-92F8-338F8D377D79}" name="y18"/>
    <tableColumn id="17" xr3:uid="{A0FEF02C-9746-4ABE-8FA9-7C638F38A962}" name="x19"/>
    <tableColumn id="18" xr3:uid="{5ABF95CB-6A96-4293-A98F-4827F8C56C55}" name="y19"/>
    <tableColumn id="43" xr3:uid="{912E1B2D-09CA-43EC-972D-A27509EFB24E}" name="x20"/>
    <tableColumn id="44" xr3:uid="{BAE19D4B-3F88-419F-90C6-A70EEE57D547}" name="y20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D08CE0E-C86C-4035-B4E4-7761C6FF222B}" name="SummaryStatisticsTable" displayName="SummaryStatisticsTable" ref="A2:T4" totalsRowShown="0">
  <tableColumns count="20">
    <tableColumn id="1" xr3:uid="{AFDF7DEB-4B04-4D0B-8AD2-3199DFAFF872}" name="Date/Time" dataDxfId="0">
      <calculatedColumnFormula>Consolidated_Literage[[#This Row],[Date]]</calculatedColumnFormula>
    </tableColumn>
    <tableColumn id="2" xr3:uid="{ED187787-6FE1-4CD3-8610-E44CB9BDAFB2}" name="Total Dam Literage">
      <calculatedColumnFormula>SUM(Consolidated_Literage[[#This Row],[Rouwater]:[NoordEnd2]])</calculatedColumnFormula>
    </tableColumn>
    <tableColumn id="3" xr3:uid="{19557973-6558-41E1-B84B-CE05D5723A88}" name="Total Dam Capacity">
      <calculatedColumnFormula>SUM(Dam_Capacity[])</calculatedColumnFormula>
    </tableColumn>
    <tableColumn id="4" xr3:uid="{66F3B06C-B2B0-4EFB-9AD2-0BC1B5AAC9E6}" name="% Full">
      <calculatedColumnFormula>SummaryStatisticsTable[[#This Row],[Total Dam Literage]]/SummaryStatisticsTable[[#This Row],[Total Dam Capacity]]</calculatedColumnFormula>
    </tableColumn>
    <tableColumn id="5" xr3:uid="{17746E99-E1C7-46F7-B4DA-0DB48B750081}" name="Current Inflow l/h">
      <calculatedColumnFormula>(Consolidated_Literage[[#This Row],[Parshall Flume]] - 23000) * 0.1 + SUM(Consolidated_Literage[[#This Row],[SRK]:[Borehole9]]) + Consolidated_Literage[[#This Row],[Supplementary Pump]]</calculatedColumnFormula>
    </tableColumn>
    <tableColumn id="6" xr3:uid="{96BE6D26-DD74-42C4-ACE5-8B3D763F5618}" name="Consumption l/h" dataDxfId="5"/>
    <tableColumn id="7" xr3:uid="{5FEA8C7A-5E5F-4E11-B1DF-6C6DF87283AD}" name="% consumption">
      <calculatedColumnFormula>SummaryStatisticsTable[[#This Row],[Consumption l/h]]/SummaryStatisticsTable[[#This Row],[Current Inflow l/h]]</calculatedColumnFormula>
    </tableColumn>
    <tableColumn id="8" xr3:uid="{7923D1F4-B9CB-4A72-847F-9FCDEFE69078}" name="DamLiterage1">
      <calculatedColumnFormula>Consolidated_Literage[[#This Row],[Rouwater]]</calculatedColumnFormula>
    </tableColumn>
    <tableColumn id="9" xr3:uid="{2DEB4C5B-0BC7-410D-837E-B44914998F99}" name="DamLiterage2" dataDxfId="4">
      <calculatedColumnFormula>Consolidated_Literage[[#This Row],[Staandak]]</calculatedColumnFormula>
    </tableColumn>
    <tableColumn id="10" xr3:uid="{A8071EA0-2137-409C-A179-56B47B3EEA62}" name="DamLiterage3" dataDxfId="3">
      <calculatedColumnFormula>Consolidated_Literage[[#This Row],[Klippies]]</calculatedColumnFormula>
    </tableColumn>
    <tableColumn id="11" xr3:uid="{E40D16FA-3B68-40CE-8610-4BBE98F94565}" name="DamLiterage4">
      <calculatedColumnFormula>Consolidated_Literage[[#This Row],[Hoedruk]]</calculatedColumnFormula>
    </tableColumn>
    <tableColumn id="12" xr3:uid="{358ECAD9-089B-436B-8A17-089A29FD8870}" name="DamLiterage5">
      <calculatedColumnFormula>Consolidated_Literage[[#This Row],[NoordEnd1]]</calculatedColumnFormula>
    </tableColumn>
    <tableColumn id="13" xr3:uid="{866E8352-B6B7-48C1-8ECD-F09BCD5F3981}" name="DamLiterage6">
      <calculatedColumnFormula>Consolidated_Literage[[#This Row],[NoordEnd2]]</calculatedColumnFormula>
    </tableColumn>
    <tableColumn id="14" xr3:uid="{DD6B6123-F510-43AB-ADB0-B0AD3166A006}" name="Dam%1">
      <calculatedColumnFormula>Consolidated_Literage[[#This Row],[Rouwater]]/Dam_Capacity[Rouwater]</calculatedColumnFormula>
    </tableColumn>
    <tableColumn id="15" xr3:uid="{B5828982-41D8-4664-A905-37380ABB67F2}" name="Dam%2">
      <calculatedColumnFormula>Consolidated_Literage[[#This Row],[Staandak]]/Dam_Capacity[Staandak]</calculatedColumnFormula>
    </tableColumn>
    <tableColumn id="16" xr3:uid="{F7059D6D-1111-44E5-822A-3462EE217A0E}" name="Dam%3">
      <calculatedColumnFormula>Consolidated_Literage[[#This Row],[Klippies]]/Dam_Capacity[Klippies]</calculatedColumnFormula>
    </tableColumn>
    <tableColumn id="17" xr3:uid="{0BD91CEB-50D3-4635-BCB6-65EAA5EA5E9D}" name="Dam%4">
      <calculatedColumnFormula>Consolidated_Literage[[#This Row],[Hoedruk]]/Dam_Capacity[Koppies]</calculatedColumnFormula>
    </tableColumn>
    <tableColumn id="18" xr3:uid="{E1D8C7E2-2ECA-4138-BB5B-851CBC5A37FA}" name="Dam%5">
      <calculatedColumnFormula>Consolidated_Literage[[#This Row],[NoordEnd1]]/Dam_Capacity[Noord-end1]</calculatedColumnFormula>
    </tableColumn>
    <tableColumn id="19" xr3:uid="{D7B71071-720A-4020-BD6F-80EE946A3CF6}" name="Dam%6">
      <calculatedColumnFormula>Consolidated_Literage[[#This Row],[NoordEnd2]]/Dam_Capacity[Noord-end2]</calculatedColumnFormula>
    </tableColumn>
    <tableColumn id="20" xr3:uid="{126FD9CD-C8D2-4098-AFA1-CB18D933415B}" name="Days till Day Zero">
      <calculatedColumnFormula>IF(SummaryStatisticsTable[[#This Row],[Current Inflow l/h]]&gt;=SummaryStatisticsTable[[#This Row],[Consumption l/h]], "N/A", SummaryStatisticsTable[[#This Row],[Total Dam Literage]]/((SummaryStatisticsTable[[#This Row],[Consumption l/h]]-SummaryStatisticsTable[[#This Row],[Current Inflow l/h]])*24))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FD88-C5F7-4986-A7FB-7C089BA3AE53}">
  <sheetPr codeName="Sheet2"/>
  <dimension ref="A1:W5"/>
  <sheetViews>
    <sheetView workbookViewId="0">
      <selection activeCell="C16" sqref="C16"/>
    </sheetView>
  </sheetViews>
  <sheetFormatPr defaultRowHeight="14.4" x14ac:dyDescent="0.3"/>
  <cols>
    <col min="1" max="1" width="21.44140625" customWidth="1"/>
    <col min="2" max="2" width="19.5546875" customWidth="1"/>
    <col min="3" max="3" width="14.109375" customWidth="1"/>
    <col min="4" max="4" width="14.21875" customWidth="1"/>
    <col min="5" max="5" width="15.88671875" customWidth="1"/>
    <col min="6" max="7" width="16.88671875" customWidth="1"/>
    <col min="8" max="8" width="14.44140625" customWidth="1"/>
    <col min="9" max="9" width="17.21875" customWidth="1"/>
    <col min="10" max="10" width="19.5546875" customWidth="1"/>
    <col min="11" max="11" width="16.21875" customWidth="1"/>
    <col min="12" max="12" width="18.6640625" customWidth="1"/>
    <col min="13" max="13" width="11.44140625" customWidth="1"/>
    <col min="14" max="14" width="22.21875" customWidth="1"/>
    <col min="15" max="18" width="11.44140625" customWidth="1"/>
    <col min="19" max="19" width="12.6640625" customWidth="1"/>
    <col min="20" max="20" width="13.77734375" customWidth="1"/>
    <col min="21" max="21" width="11.44140625" customWidth="1"/>
  </cols>
  <sheetData>
    <row r="1" spans="1:23" x14ac:dyDescent="0.3">
      <c r="A1" s="1" t="s">
        <v>1</v>
      </c>
      <c r="J1" s="1" t="s">
        <v>0</v>
      </c>
      <c r="K1" s="1"/>
    </row>
    <row r="2" spans="1:23" x14ac:dyDescent="0.3">
      <c r="A2" t="s">
        <v>3</v>
      </c>
      <c r="B2" t="s">
        <v>2</v>
      </c>
      <c r="C2" t="s">
        <v>6</v>
      </c>
      <c r="D2" t="s">
        <v>7</v>
      </c>
      <c r="E2" t="s">
        <v>111</v>
      </c>
      <c r="F2" t="s">
        <v>20</v>
      </c>
      <c r="G2" t="s">
        <v>21</v>
      </c>
      <c r="J2" s="1" t="s">
        <v>23</v>
      </c>
      <c r="N2" s="1" t="s">
        <v>24</v>
      </c>
    </row>
    <row r="3" spans="1:23" x14ac:dyDescent="0.3">
      <c r="A3" s="8">
        <v>43796.416666666664</v>
      </c>
      <c r="B3" s="2">
        <v>1.84</v>
      </c>
      <c r="C3" s="2">
        <v>1.3</v>
      </c>
      <c r="D3" s="2">
        <v>2.2000000000000002</v>
      </c>
      <c r="E3" s="2">
        <v>2.65</v>
      </c>
      <c r="F3" s="2">
        <v>2.2000000000000002</v>
      </c>
      <c r="G3" s="2">
        <v>1.6</v>
      </c>
      <c r="J3" t="s">
        <v>3</v>
      </c>
      <c r="K3" t="s">
        <v>30</v>
      </c>
      <c r="L3" t="s">
        <v>112</v>
      </c>
      <c r="N3" s="5" t="s">
        <v>3</v>
      </c>
      <c r="O3" s="5" t="s">
        <v>39</v>
      </c>
      <c r="P3" s="5" t="s">
        <v>11</v>
      </c>
      <c r="Q3" s="5" t="s">
        <v>12</v>
      </c>
      <c r="R3" s="5" t="s">
        <v>13</v>
      </c>
      <c r="S3" s="5" t="s">
        <v>14</v>
      </c>
      <c r="T3" s="5" t="s">
        <v>15</v>
      </c>
      <c r="U3" s="5" t="s">
        <v>16</v>
      </c>
      <c r="V3" s="5" t="s">
        <v>17</v>
      </c>
      <c r="W3" s="5" t="s">
        <v>18</v>
      </c>
    </row>
    <row r="4" spans="1:23" x14ac:dyDescent="0.3">
      <c r="A4" s="31">
        <v>43797.458333333336</v>
      </c>
      <c r="B4" s="2">
        <v>1.71</v>
      </c>
      <c r="C4" s="2">
        <v>1</v>
      </c>
      <c r="D4" s="2">
        <v>2.1</v>
      </c>
      <c r="E4" s="2">
        <v>2.2000000000000002</v>
      </c>
      <c r="F4" s="2">
        <v>2</v>
      </c>
      <c r="G4" s="2">
        <v>1.8</v>
      </c>
      <c r="J4" s="8">
        <v>43796.416666666664</v>
      </c>
      <c r="K4">
        <v>92000</v>
      </c>
      <c r="L4">
        <v>0</v>
      </c>
      <c r="N4" s="9">
        <v>43796.416666666664</v>
      </c>
      <c r="O4" s="5">
        <v>9000</v>
      </c>
      <c r="P4" s="5">
        <v>3000</v>
      </c>
      <c r="Q4" s="5">
        <v>7200</v>
      </c>
      <c r="R4" s="5">
        <v>30000</v>
      </c>
      <c r="S4" s="5">
        <v>2000</v>
      </c>
      <c r="T4" s="5">
        <v>8000</v>
      </c>
      <c r="U4" s="5"/>
      <c r="V4" s="5"/>
      <c r="W4" s="5">
        <v>4400</v>
      </c>
    </row>
    <row r="5" spans="1:23" x14ac:dyDescent="0.3">
      <c r="J5" s="31">
        <v>43797.458333333336</v>
      </c>
      <c r="K5">
        <v>90000</v>
      </c>
      <c r="L5">
        <v>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joinTables">
                <anchor moveWithCells="1">
                  <from>
                    <xdr:col>7</xdr:col>
                    <xdr:colOff>144780</xdr:colOff>
                    <xdr:row>1</xdr:row>
                    <xdr:rowOff>30480</xdr:rowOff>
                  </from>
                  <to>
                    <xdr:col>8</xdr:col>
                    <xdr:colOff>891540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1999-AF8F-40C5-88E2-86ED4ED6DBC5}">
  <sheetPr codeName="Sheet7"/>
  <dimension ref="A1:R4"/>
  <sheetViews>
    <sheetView workbookViewId="0">
      <selection activeCell="B32" sqref="B32"/>
    </sheetView>
  </sheetViews>
  <sheetFormatPr defaultRowHeight="14.4" x14ac:dyDescent="0.3"/>
  <cols>
    <col min="1" max="1" width="21.88671875" customWidth="1"/>
    <col min="2" max="2" width="32.88671875" customWidth="1"/>
    <col min="3" max="3" width="9.33203125" customWidth="1"/>
    <col min="4" max="4" width="10.77734375" customWidth="1"/>
    <col min="5" max="5" width="9.5546875" customWidth="1"/>
    <col min="6" max="6" width="12.5546875" customWidth="1"/>
    <col min="7" max="7" width="12.44140625" customWidth="1"/>
    <col min="8" max="8" width="15" customWidth="1"/>
    <col min="9" max="9" width="24.33203125" customWidth="1"/>
    <col min="10" max="10" width="15.5546875" customWidth="1"/>
    <col min="11" max="11" width="16.77734375" customWidth="1"/>
    <col min="12" max="12" width="11.5546875" customWidth="1"/>
    <col min="13" max="14" width="11.44140625" customWidth="1"/>
    <col min="15" max="15" width="12" customWidth="1"/>
    <col min="16" max="17" width="11.44140625" customWidth="1"/>
    <col min="18" max="19" width="11.77734375" customWidth="1"/>
    <col min="20" max="20" width="12.6640625" customWidth="1"/>
  </cols>
  <sheetData>
    <row r="1" spans="1:18" x14ac:dyDescent="0.3">
      <c r="A1" s="1" t="s">
        <v>1</v>
      </c>
      <c r="H1" s="1" t="s">
        <v>23</v>
      </c>
      <c r="J1" s="1" t="s">
        <v>24</v>
      </c>
    </row>
    <row r="2" spans="1:18" x14ac:dyDescent="0.3">
      <c r="A2" s="32" t="s">
        <v>3</v>
      </c>
      <c r="B2" s="3" t="s">
        <v>2</v>
      </c>
      <c r="C2" s="3" t="s">
        <v>6</v>
      </c>
      <c r="D2" s="3" t="s">
        <v>7</v>
      </c>
      <c r="E2" s="3" t="s">
        <v>111</v>
      </c>
      <c r="F2" s="3" t="s">
        <v>20</v>
      </c>
      <c r="G2" s="3" t="s">
        <v>21</v>
      </c>
      <c r="H2" s="3" t="s">
        <v>27</v>
      </c>
      <c r="I2" s="3" t="s">
        <v>112</v>
      </c>
      <c r="J2" s="3" t="s">
        <v>39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</row>
    <row r="3" spans="1:18" x14ac:dyDescent="0.3">
      <c r="A3" s="33">
        <v>43796.416666666664</v>
      </c>
      <c r="B3" s="6">
        <v>1431111.111111111</v>
      </c>
      <c r="C3" s="6">
        <v>285365.85365853662</v>
      </c>
      <c r="D3" s="6">
        <v>259285.71428571429</v>
      </c>
      <c r="E3" s="6">
        <v>401515.15151515155</v>
      </c>
      <c r="F3" s="6">
        <v>846153.84615384613</v>
      </c>
      <c r="G3" s="6">
        <v>774193.54838709673</v>
      </c>
      <c r="H3" s="6">
        <v>92000</v>
      </c>
      <c r="I3" s="6">
        <v>0</v>
      </c>
      <c r="J3" s="6">
        <v>9000</v>
      </c>
      <c r="K3" s="6">
        <v>3000</v>
      </c>
      <c r="L3" s="6">
        <v>7200</v>
      </c>
      <c r="M3" s="6">
        <v>30000</v>
      </c>
      <c r="N3" s="6">
        <v>2000</v>
      </c>
      <c r="O3" s="6">
        <v>8000</v>
      </c>
      <c r="P3" s="6">
        <v>0</v>
      </c>
      <c r="Q3" s="6">
        <v>0</v>
      </c>
      <c r="R3" s="6">
        <v>4400</v>
      </c>
    </row>
    <row r="4" spans="1:18" x14ac:dyDescent="0.3">
      <c r="A4" s="33">
        <v>43797.458333333336</v>
      </c>
      <c r="B4" s="6">
        <v>1330000</v>
      </c>
      <c r="C4" s="6">
        <v>219512.19512195123</v>
      </c>
      <c r="D4" s="6">
        <v>247500</v>
      </c>
      <c r="E4" s="6">
        <v>333333.33333333337</v>
      </c>
      <c r="F4" s="6">
        <v>769230.76923076913</v>
      </c>
      <c r="G4" s="6">
        <v>870967.74193548388</v>
      </c>
      <c r="H4" s="6">
        <v>90000</v>
      </c>
      <c r="I4" s="6">
        <v>5000</v>
      </c>
      <c r="J4" s="6">
        <v>9000</v>
      </c>
      <c r="K4" s="6">
        <v>3000</v>
      </c>
      <c r="L4" s="6">
        <v>7200</v>
      </c>
      <c r="M4" s="6">
        <v>30000</v>
      </c>
      <c r="N4" s="6">
        <v>2000</v>
      </c>
      <c r="O4" s="6">
        <v>8000</v>
      </c>
      <c r="P4" s="6">
        <v>0</v>
      </c>
      <c r="Q4" s="6">
        <v>0</v>
      </c>
      <c r="R4" s="6">
        <v>4400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90BD3-F588-4261-8F92-70E703654DC7}">
  <sheetPr codeName="Sheet1"/>
  <dimension ref="A1:F26"/>
  <sheetViews>
    <sheetView tabSelected="1" workbookViewId="0">
      <selection activeCell="E12" sqref="E12"/>
    </sheetView>
  </sheetViews>
  <sheetFormatPr defaultRowHeight="14.4" x14ac:dyDescent="0.3"/>
  <cols>
    <col min="1" max="1" width="15.44140625" customWidth="1"/>
    <col min="2" max="2" width="14.77734375" customWidth="1"/>
    <col min="3" max="3" width="19.44140625" customWidth="1"/>
    <col min="4" max="4" width="15.5546875" customWidth="1"/>
    <col min="5" max="5" width="12.5546875" customWidth="1"/>
    <col min="6" max="6" width="11.5546875" customWidth="1"/>
  </cols>
  <sheetData>
    <row r="1" spans="1:6" x14ac:dyDescent="0.3">
      <c r="A1" s="18" t="s">
        <v>48</v>
      </c>
      <c r="B1" s="19"/>
      <c r="C1" s="20"/>
      <c r="D1" s="20"/>
      <c r="E1" s="20"/>
      <c r="F1" s="20"/>
    </row>
    <row r="2" spans="1:6" x14ac:dyDescent="0.3">
      <c r="A2" s="19">
        <v>43796.416666666664</v>
      </c>
      <c r="B2" s="20"/>
      <c r="C2" s="20"/>
      <c r="D2" s="20"/>
      <c r="E2" s="20"/>
      <c r="F2" s="20"/>
    </row>
    <row r="3" spans="1:6" x14ac:dyDescent="0.3">
      <c r="A3" s="12" t="s">
        <v>108</v>
      </c>
      <c r="B3" s="13"/>
      <c r="C3" s="12" t="s">
        <v>42</v>
      </c>
      <c r="D3" s="14"/>
      <c r="E3" s="12" t="s">
        <v>41</v>
      </c>
      <c r="F3" s="14"/>
    </row>
    <row r="4" spans="1:6" x14ac:dyDescent="0.3">
      <c r="A4" s="22">
        <v>3997625.2251114561</v>
      </c>
      <c r="B4" s="23"/>
      <c r="C4" s="22">
        <v>7195000</v>
      </c>
      <c r="D4" s="23"/>
      <c r="E4" s="27">
        <v>0.55561156707594939</v>
      </c>
      <c r="F4" s="15"/>
    </row>
    <row r="5" spans="1:6" x14ac:dyDescent="0.3">
      <c r="A5" s="24" t="s">
        <v>45</v>
      </c>
      <c r="B5" s="25"/>
      <c r="C5" s="24" t="s">
        <v>113</v>
      </c>
      <c r="D5" s="30"/>
      <c r="E5" s="12" t="s">
        <v>110</v>
      </c>
      <c r="F5" s="14"/>
    </row>
    <row r="6" spans="1:6" x14ac:dyDescent="0.3">
      <c r="A6" s="22">
        <v>70500</v>
      </c>
      <c r="B6" s="23"/>
      <c r="C6" s="22" t="s">
        <v>107</v>
      </c>
      <c r="D6" s="23"/>
      <c r="E6" s="27" t="s">
        <v>107</v>
      </c>
      <c r="F6" s="15"/>
    </row>
    <row r="7" spans="1:6" x14ac:dyDescent="0.3">
      <c r="A7" s="16"/>
      <c r="B7" s="16"/>
      <c r="C7" s="16"/>
      <c r="D7" s="16"/>
      <c r="E7" s="16"/>
      <c r="F7" s="16"/>
    </row>
    <row r="8" spans="1:6" x14ac:dyDescent="0.3">
      <c r="A8" s="17" t="s">
        <v>109</v>
      </c>
      <c r="B8" s="17" t="s">
        <v>7</v>
      </c>
      <c r="C8" s="17" t="s">
        <v>6</v>
      </c>
      <c r="D8" s="17" t="s">
        <v>111</v>
      </c>
      <c r="E8" s="17" t="s">
        <v>43</v>
      </c>
      <c r="F8" s="17" t="s">
        <v>44</v>
      </c>
    </row>
    <row r="9" spans="1:6" x14ac:dyDescent="0.3">
      <c r="A9" s="29">
        <v>1431111.111111111</v>
      </c>
      <c r="B9" s="29">
        <v>259285.71428571429</v>
      </c>
      <c r="C9" s="29">
        <v>285365.85365853662</v>
      </c>
      <c r="D9" s="29">
        <v>401515.15151515155</v>
      </c>
      <c r="E9" s="29">
        <v>846153.84615384613</v>
      </c>
      <c r="F9" s="29">
        <v>774193.54838709673</v>
      </c>
    </row>
    <row r="10" spans="1:6" x14ac:dyDescent="0.3">
      <c r="A10" s="28">
        <v>0.51111111111111107</v>
      </c>
      <c r="B10" s="28">
        <v>0.52380952380952384</v>
      </c>
      <c r="C10" s="28">
        <v>0.31707317073170738</v>
      </c>
      <c r="D10" s="28">
        <v>0.80303030303030309</v>
      </c>
      <c r="E10" s="28">
        <v>0.84615384615384615</v>
      </c>
      <c r="F10" s="28">
        <v>0.5161290322580645</v>
      </c>
    </row>
    <row r="11" spans="1:6" x14ac:dyDescent="0.3">
      <c r="A11" s="21" t="s">
        <v>47</v>
      </c>
      <c r="B11" s="16"/>
      <c r="C11" s="16"/>
      <c r="D11" s="16"/>
      <c r="E11" s="16"/>
      <c r="F11" s="16"/>
    </row>
    <row r="12" spans="1:6" x14ac:dyDescent="0.3">
      <c r="A12" s="26" t="s">
        <v>107</v>
      </c>
      <c r="B12" s="16"/>
      <c r="C12" s="16"/>
      <c r="D12" s="16"/>
      <c r="E12" s="16"/>
      <c r="F12" s="16"/>
    </row>
    <row r="15" spans="1:6" x14ac:dyDescent="0.3">
      <c r="A15" s="18" t="s">
        <v>48</v>
      </c>
      <c r="B15" s="19"/>
      <c r="C15" s="20"/>
      <c r="D15" s="20"/>
      <c r="E15" s="20"/>
      <c r="F15" s="20"/>
    </row>
    <row r="16" spans="1:6" x14ac:dyDescent="0.3">
      <c r="A16" s="19">
        <v>43797.458333333336</v>
      </c>
      <c r="B16" s="20"/>
      <c r="C16" s="20"/>
      <c r="D16" s="20"/>
      <c r="E16" s="20"/>
      <c r="F16" s="20"/>
    </row>
    <row r="17" spans="1:6" x14ac:dyDescent="0.3">
      <c r="A17" s="12" t="s">
        <v>108</v>
      </c>
      <c r="B17" s="13"/>
      <c r="C17" s="12" t="s">
        <v>42</v>
      </c>
      <c r="D17" s="14"/>
      <c r="E17" s="12" t="s">
        <v>41</v>
      </c>
      <c r="F17" s="14"/>
    </row>
    <row r="18" spans="1:6" x14ac:dyDescent="0.3">
      <c r="A18" s="22">
        <v>3770544.0396215376</v>
      </c>
      <c r="B18" s="23"/>
      <c r="C18" s="22">
        <v>7195000</v>
      </c>
      <c r="D18" s="23"/>
      <c r="E18" s="27">
        <v>0.52405059619479322</v>
      </c>
      <c r="F18" s="15"/>
    </row>
    <row r="19" spans="1:6" x14ac:dyDescent="0.3">
      <c r="A19" s="24" t="s">
        <v>45</v>
      </c>
      <c r="B19" s="25"/>
      <c r="C19" s="24" t="s">
        <v>113</v>
      </c>
      <c r="D19" s="30">
        <v>43796.416666666664</v>
      </c>
      <c r="E19" s="12" t="s">
        <v>110</v>
      </c>
      <c r="F19" s="14"/>
    </row>
    <row r="20" spans="1:6" x14ac:dyDescent="0.3">
      <c r="A20" s="22">
        <v>75300</v>
      </c>
      <c r="B20" s="23"/>
      <c r="C20" s="22">
        <v>79583.23841513849</v>
      </c>
      <c r="D20" s="23"/>
      <c r="E20" s="27">
        <v>1.0568823162700995</v>
      </c>
      <c r="F20" s="15"/>
    </row>
    <row r="21" spans="1:6" x14ac:dyDescent="0.3">
      <c r="A21" s="16"/>
      <c r="B21" s="16"/>
      <c r="C21" s="16"/>
      <c r="D21" s="16"/>
      <c r="E21" s="16"/>
      <c r="F21" s="16"/>
    </row>
    <row r="22" spans="1:6" x14ac:dyDescent="0.3">
      <c r="A22" s="17" t="s">
        <v>109</v>
      </c>
      <c r="B22" s="17" t="s">
        <v>7</v>
      </c>
      <c r="C22" s="17" t="s">
        <v>6</v>
      </c>
      <c r="D22" s="17" t="s">
        <v>111</v>
      </c>
      <c r="E22" s="17" t="s">
        <v>43</v>
      </c>
      <c r="F22" s="17" t="s">
        <v>44</v>
      </c>
    </row>
    <row r="23" spans="1:6" x14ac:dyDescent="0.3">
      <c r="A23" s="29">
        <v>1330000</v>
      </c>
      <c r="B23" s="29">
        <v>247500</v>
      </c>
      <c r="C23" s="29">
        <v>219512.19512195123</v>
      </c>
      <c r="D23" s="29">
        <v>333333.33333333337</v>
      </c>
      <c r="E23" s="29">
        <v>769230.76923076913</v>
      </c>
      <c r="F23" s="29">
        <v>870967.74193548388</v>
      </c>
    </row>
    <row r="24" spans="1:6" x14ac:dyDescent="0.3">
      <c r="A24" s="28">
        <v>0.47499999999999998</v>
      </c>
      <c r="B24" s="28">
        <v>0.5</v>
      </c>
      <c r="C24" s="28">
        <v>0.24390243902439024</v>
      </c>
      <c r="D24" s="28">
        <v>0.66666666666666674</v>
      </c>
      <c r="E24" s="28">
        <v>0.76923076923076916</v>
      </c>
      <c r="F24" s="28">
        <v>0.58064516129032262</v>
      </c>
    </row>
    <row r="25" spans="1:6" x14ac:dyDescent="0.3">
      <c r="A25" s="21" t="s">
        <v>47</v>
      </c>
      <c r="B25" s="16"/>
      <c r="C25" s="16"/>
      <c r="D25" s="16"/>
      <c r="E25" s="16"/>
      <c r="F25" s="16"/>
    </row>
    <row r="26" spans="1:6" x14ac:dyDescent="0.3">
      <c r="A26" s="26">
        <v>36.679256773479807</v>
      </c>
      <c r="B26" s="16"/>
      <c r="C26" s="16"/>
      <c r="D26" s="16"/>
      <c r="E26" s="16"/>
      <c r="F26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8FF2-02F9-4A00-907B-ADCDAE25ADFE}">
  <sheetPr codeName="Sheet3"/>
  <dimension ref="A1:V5"/>
  <sheetViews>
    <sheetView topLeftCell="G1" zoomScaleNormal="100" workbookViewId="0">
      <selection activeCell="J5" sqref="J5"/>
    </sheetView>
  </sheetViews>
  <sheetFormatPr defaultRowHeight="14.4" x14ac:dyDescent="0.3"/>
  <cols>
    <col min="1" max="1" width="18.109375" customWidth="1"/>
    <col min="2" max="2" width="18.44140625" customWidth="1"/>
    <col min="3" max="3" width="19.33203125" customWidth="1"/>
    <col min="4" max="4" width="14.44140625" customWidth="1"/>
    <col min="5" max="5" width="12.88671875" customWidth="1"/>
    <col min="6" max="6" width="17.6640625" customWidth="1"/>
    <col min="7" max="8" width="16.88671875" customWidth="1"/>
    <col min="9" max="9" width="22.77734375" customWidth="1"/>
    <col min="10" max="10" width="16.5546875" customWidth="1"/>
    <col min="11" max="11" width="15.77734375" customWidth="1"/>
    <col min="13" max="13" width="18" customWidth="1"/>
    <col min="14" max="14" width="10.44140625" customWidth="1"/>
    <col min="15" max="15" width="11.6640625" customWidth="1"/>
    <col min="16" max="17" width="11.44140625" customWidth="1"/>
    <col min="18" max="18" width="12.33203125" customWidth="1"/>
    <col min="19" max="19" width="11.77734375" customWidth="1"/>
    <col min="20" max="20" width="14.5546875" customWidth="1"/>
    <col min="21" max="21" width="12.88671875" customWidth="1"/>
  </cols>
  <sheetData>
    <row r="1" spans="1:22" x14ac:dyDescent="0.3">
      <c r="A1" s="1" t="s">
        <v>25</v>
      </c>
      <c r="I1" s="1" t="s">
        <v>26</v>
      </c>
    </row>
    <row r="2" spans="1:22" x14ac:dyDescent="0.3">
      <c r="A2" t="s">
        <v>3</v>
      </c>
      <c r="B2" t="s">
        <v>2</v>
      </c>
      <c r="C2" t="s">
        <v>6</v>
      </c>
      <c r="D2" t="s">
        <v>7</v>
      </c>
      <c r="E2" t="s">
        <v>8</v>
      </c>
      <c r="F2" t="s">
        <v>20</v>
      </c>
      <c r="G2" t="s">
        <v>21</v>
      </c>
      <c r="I2" s="1" t="s">
        <v>23</v>
      </c>
      <c r="M2" s="1" t="s">
        <v>24</v>
      </c>
    </row>
    <row r="3" spans="1:22" x14ac:dyDescent="0.3">
      <c r="A3" s="8">
        <f>Dam_Measurements[[#This Row],[Date]]</f>
        <v>43796.416666666664</v>
      </c>
      <c r="B3">
        <f>Dam_Measurements[[#This Row],[Rouwater]]/Dam_Height[Rouwater] *Dam_Capacity[Rouwater]</f>
        <v>1431111.111111111</v>
      </c>
      <c r="C3">
        <f>Dam_Measurements[[#This Row],[Klippies]]/Dam_Height[Klippies] *Dam_Capacity[Klippies]</f>
        <v>285365.85365853662</v>
      </c>
      <c r="D3">
        <f>Dam_Measurements[[#This Row],[Staandak]]/Dam_Height[Staandak] *Dam_Capacity[Staandak]</f>
        <v>259285.71428571429</v>
      </c>
      <c r="E3">
        <f>Dam_Measurements[[#This Row],[Hoedruk]]/Dam_Height[Koppies] *Dam_Capacity[Koppies]</f>
        <v>401515.15151515155</v>
      </c>
      <c r="F3">
        <f>Dam_Measurements[[#This Row],[NoordEnd1]]/Dam_Height[Noord-end1] *Dam_Capacity[Noord-end1]</f>
        <v>846153.84615384613</v>
      </c>
      <c r="G3">
        <f>Dam_Measurements[[#This Row],[NoordEnd2]]/Dam_Height[Noord-end2] *Dam_Capacity[Noord-end2]</f>
        <v>774193.54838709673</v>
      </c>
      <c r="I3" s="1" t="s">
        <v>3</v>
      </c>
      <c r="J3" s="1" t="s">
        <v>27</v>
      </c>
      <c r="K3" s="1" t="s">
        <v>32</v>
      </c>
      <c r="M3" s="5" t="s">
        <v>3</v>
      </c>
      <c r="N3" s="5" t="s">
        <v>39</v>
      </c>
      <c r="O3" s="5" t="s">
        <v>11</v>
      </c>
      <c r="P3" s="5" t="s">
        <v>12</v>
      </c>
      <c r="Q3" s="5" t="s">
        <v>13</v>
      </c>
      <c r="R3" s="5" t="s">
        <v>14</v>
      </c>
      <c r="S3" s="5" t="s">
        <v>15</v>
      </c>
      <c r="T3" s="5" t="s">
        <v>16</v>
      </c>
      <c r="U3" s="5" t="s">
        <v>17</v>
      </c>
      <c r="V3" s="5" t="s">
        <v>18</v>
      </c>
    </row>
    <row r="4" spans="1:22" x14ac:dyDescent="0.3">
      <c r="A4" s="31">
        <f>Dam_Measurements[[#This Row],[Date]]</f>
        <v>43797.458333333336</v>
      </c>
      <c r="B4">
        <f>Dam_Measurements[[#This Row],[Rouwater]]/Dam_Height[Rouwater] *Dam_Capacity[Rouwater]</f>
        <v>1330000</v>
      </c>
      <c r="C4">
        <f>Dam_Measurements[[#This Row],[Klippies]]/Dam_Height[Klippies] *Dam_Capacity[Klippies]</f>
        <v>219512.19512195123</v>
      </c>
      <c r="D4">
        <f>Dam_Measurements[[#This Row],[Staandak]]/Dam_Height[Staandak] *Dam_Capacity[Staandak]</f>
        <v>247500</v>
      </c>
      <c r="E4">
        <f>Dam_Measurements[[#This Row],[Hoedruk]]/Dam_Height[Koppies] *Dam_Capacity[Koppies]</f>
        <v>333333.33333333337</v>
      </c>
      <c r="F4">
        <f>Dam_Measurements[[#This Row],[NoordEnd1]]/Dam_Height[Noord-end1] *Dam_Capacity[Noord-end1]</f>
        <v>769230.76923076913</v>
      </c>
      <c r="G4">
        <f>Dam_Measurements[[#This Row],[NoordEnd2]]/Dam_Height[Noord-end2] *Dam_Capacity[Noord-end2]</f>
        <v>870967.74193548388</v>
      </c>
      <c r="I4" s="9">
        <f>GroundwaterMeasurements[[#This Row],[Date]]</f>
        <v>43796.416666666664</v>
      </c>
      <c r="J4" s="5">
        <f>GroundwaterMeasurements[[#This Row],[ParshallFlume]]</f>
        <v>92000</v>
      </c>
      <c r="K4" s="5">
        <f>GroundwaterMeasurements[[#This Row],[Supplementary Pump]]</f>
        <v>0</v>
      </c>
      <c r="M4" s="9">
        <f>Borehole_Measurements[[#This Row],[Date]]</f>
        <v>43796.416666666664</v>
      </c>
      <c r="N4" s="5">
        <f>Borehole_Measurements[[#This Row],[SRK]]</f>
        <v>9000</v>
      </c>
      <c r="O4" s="5">
        <f>Borehole_Measurements[[#This Row],[Borehole1]]</f>
        <v>3000</v>
      </c>
      <c r="P4" s="5">
        <f>Borehole_Measurements[[#This Row],[Borehole2]]</f>
        <v>7200</v>
      </c>
      <c r="Q4" s="5">
        <f>Borehole_Measurements[[#This Row],[Borehole3]]</f>
        <v>30000</v>
      </c>
      <c r="R4" s="5">
        <f>Borehole_Measurements[[#This Row],[Borehole4]]</f>
        <v>2000</v>
      </c>
      <c r="S4" s="5">
        <f>Borehole_Measurements[[#This Row],[Borehole5]]</f>
        <v>8000</v>
      </c>
      <c r="T4" s="5">
        <f>Borehole_Measurements[[#This Row],[Borehole6]]</f>
        <v>0</v>
      </c>
      <c r="U4" s="5">
        <f>Borehole_Measurements[[#This Row],[Borehole7]]</f>
        <v>0</v>
      </c>
      <c r="V4" s="5">
        <f>Borehole_Measurements[[#This Row],[Borehole8]]</f>
        <v>4400</v>
      </c>
    </row>
    <row r="5" spans="1:22" x14ac:dyDescent="0.3">
      <c r="I5" s="9">
        <f>GroundwaterMeasurements[[#This Row],[Date]]</f>
        <v>43797.458333333336</v>
      </c>
      <c r="J5" s="5">
        <f>GroundwaterMeasurements[[#This Row],[ParshallFlume]]</f>
        <v>90000</v>
      </c>
      <c r="K5" s="5">
        <f>GroundwaterMeasurements[[#This Row],[Supplementary Pump]]</f>
        <v>5000</v>
      </c>
    </row>
  </sheetData>
  <phoneticPr fontId="2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771E-B7A3-4B10-8241-42C2C6B31B97}">
  <sheetPr codeName="Sheet6"/>
  <dimension ref="A1:AQ4"/>
  <sheetViews>
    <sheetView zoomScale="96" workbookViewId="0">
      <selection activeCell="U13" sqref="U13"/>
    </sheetView>
  </sheetViews>
  <sheetFormatPr defaultRowHeight="14.4" x14ac:dyDescent="0.3"/>
  <cols>
    <col min="1" max="1" width="20.44140625" customWidth="1"/>
    <col min="2" max="2" width="16.77734375" customWidth="1"/>
    <col min="3" max="3" width="9.33203125" customWidth="1"/>
    <col min="4" max="4" width="10.77734375" customWidth="1"/>
    <col min="5" max="5" width="9.5546875" customWidth="1"/>
    <col min="6" max="7" width="12.44140625" customWidth="1"/>
    <col min="9" max="9" width="18.6640625" customWidth="1"/>
    <col min="10" max="10" width="14.77734375" customWidth="1"/>
    <col min="11" max="11" width="15.5546875" customWidth="1"/>
    <col min="13" max="13" width="19.109375" customWidth="1"/>
    <col min="24" max="24" width="18" customWidth="1"/>
    <col min="25" max="25" width="19.21875" customWidth="1"/>
    <col min="26" max="26" width="19" customWidth="1"/>
    <col min="27" max="27" width="21.109375" customWidth="1"/>
    <col min="28" max="28" width="21.21875" customWidth="1"/>
    <col min="29" max="29" width="23.77734375" customWidth="1"/>
    <col min="30" max="30" width="20.44140625" customWidth="1"/>
    <col min="31" max="31" width="20.33203125" customWidth="1"/>
    <col min="32" max="32" width="20.44140625" customWidth="1"/>
    <col min="33" max="33" width="17.5546875" customWidth="1"/>
    <col min="34" max="34" width="18.21875" customWidth="1"/>
    <col min="35" max="35" width="21" customWidth="1"/>
    <col min="36" max="36" width="17" customWidth="1"/>
    <col min="37" max="38" width="13.88671875" customWidth="1"/>
    <col min="39" max="39" width="15.5546875" customWidth="1"/>
    <col min="40" max="40" width="18.88671875" customWidth="1"/>
    <col min="41" max="41" width="13.77734375" customWidth="1"/>
    <col min="42" max="42" width="14" customWidth="1"/>
    <col min="43" max="43" width="16.21875" customWidth="1"/>
    <col min="44" max="44" width="17" customWidth="1"/>
  </cols>
  <sheetData>
    <row r="1" spans="1:43" x14ac:dyDescent="0.3">
      <c r="A1" s="1" t="s">
        <v>22</v>
      </c>
      <c r="I1" s="1" t="s">
        <v>31</v>
      </c>
      <c r="X1" s="1" t="s">
        <v>49</v>
      </c>
    </row>
    <row r="2" spans="1:43" x14ac:dyDescent="0.3">
      <c r="A2" s="3" t="s">
        <v>3</v>
      </c>
      <c r="B2" s="3" t="s">
        <v>2</v>
      </c>
      <c r="C2" s="3" t="s">
        <v>6</v>
      </c>
      <c r="D2" s="3" t="s">
        <v>7</v>
      </c>
      <c r="E2" s="3" t="s">
        <v>8</v>
      </c>
      <c r="F2" s="3" t="s">
        <v>20</v>
      </c>
      <c r="G2" s="3" t="s">
        <v>21</v>
      </c>
      <c r="I2" s="1" t="s">
        <v>23</v>
      </c>
      <c r="M2" s="1" t="s">
        <v>24</v>
      </c>
      <c r="X2" t="s">
        <v>40</v>
      </c>
      <c r="Y2" t="s">
        <v>50</v>
      </c>
      <c r="Z2" t="s">
        <v>42</v>
      </c>
      <c r="AA2" t="s">
        <v>41</v>
      </c>
      <c r="AB2" t="s">
        <v>45</v>
      </c>
      <c r="AC2" t="s">
        <v>46</v>
      </c>
      <c r="AD2" t="s">
        <v>51</v>
      </c>
      <c r="AE2" t="s">
        <v>52</v>
      </c>
      <c r="AF2" t="s">
        <v>53</v>
      </c>
      <c r="AG2" t="s">
        <v>54</v>
      </c>
      <c r="AH2" t="s">
        <v>55</v>
      </c>
      <c r="AI2" t="s">
        <v>56</v>
      </c>
      <c r="AJ2" t="s">
        <v>57</v>
      </c>
      <c r="AK2" t="s">
        <v>58</v>
      </c>
      <c r="AL2" t="s">
        <v>59</v>
      </c>
      <c r="AM2" t="s">
        <v>60</v>
      </c>
      <c r="AN2" t="s">
        <v>61</v>
      </c>
      <c r="AO2" t="s">
        <v>62</v>
      </c>
      <c r="AP2" t="s">
        <v>63</v>
      </c>
      <c r="AQ2" t="s">
        <v>64</v>
      </c>
    </row>
    <row r="3" spans="1:43" x14ac:dyDescent="0.3">
      <c r="A3" s="10">
        <f>Dam_Measurements[[#This Row],[Date]]</f>
        <v>43796.416666666664</v>
      </c>
      <c r="B3" s="4">
        <f>Dam_Measurements[[#This Row],[Rouwater]]/Dam_Height[Rouwater] *Dam_Capacity[Rouwater]</f>
        <v>1431111.111111111</v>
      </c>
      <c r="C3" s="4">
        <f>Dam_Measurements[[#This Row],[Klippies]]/Dam_Height[Klippies] *Dam_Capacity[Klippies]</f>
        <v>285365.85365853662</v>
      </c>
      <c r="D3" s="4">
        <f>Dam_Measurements[[#This Row],[Staandak]]/Dam_Height[Staandak] *Dam_Capacity[Staandak]</f>
        <v>259285.71428571429</v>
      </c>
      <c r="E3" s="4">
        <f>Dam_Measurements[[#This Row],[Hoedruk]]/Dam_Height[Koppies] *Dam_Capacity[Koppies]</f>
        <v>401515.15151515155</v>
      </c>
      <c r="F3" s="4">
        <f>Dam_Measurements[[#This Row],[NoordEnd1]]/Dam_Height[Noord-end1] *Dam_Capacity[Noord-end1]</f>
        <v>846153.84615384613</v>
      </c>
      <c r="G3" s="4">
        <f>Dam_Measurements[[#This Row],[NoordEnd2]]/Dam_Height[Noord-end2] *Dam_Capacity[Noord-end2]</f>
        <v>774193.54838709673</v>
      </c>
      <c r="I3" t="s">
        <v>3</v>
      </c>
      <c r="J3" t="s">
        <v>27</v>
      </c>
      <c r="K3" t="s">
        <v>32</v>
      </c>
      <c r="M3" s="5" t="s">
        <v>3</v>
      </c>
      <c r="N3" s="5" t="s">
        <v>39</v>
      </c>
      <c r="O3" s="5" t="s">
        <v>11</v>
      </c>
      <c r="P3" s="5" t="s">
        <v>12</v>
      </c>
      <c r="Q3" s="5" t="s">
        <v>13</v>
      </c>
      <c r="R3" s="5" t="s">
        <v>14</v>
      </c>
      <c r="S3" s="5" t="s">
        <v>15</v>
      </c>
      <c r="T3" s="5" t="s">
        <v>16</v>
      </c>
      <c r="U3" s="5" t="s">
        <v>17</v>
      </c>
      <c r="V3" s="5" t="s">
        <v>18</v>
      </c>
      <c r="X3" s="11">
        <f>Consolidated_Literage[[#This Row],[Date]]</f>
        <v>43796.416666666664</v>
      </c>
      <c r="Y3">
        <f>SUM(Consolidated_Literage[[#This Row],[Rouwater]:[NoordEnd2]])</f>
        <v>3997625.2251114561</v>
      </c>
      <c r="Z3">
        <f>SUM(Dam_Capacity[])</f>
        <v>7195000</v>
      </c>
      <c r="AA3">
        <f>SummaryStatisticsFormulae[[#This Row],[Total Dam Literage]]/SummaryStatisticsFormulae[[#This Row],[Total Dam Capacity]]</f>
        <v>0.55561156707594939</v>
      </c>
      <c r="AB3" s="7">
        <f>(Consolidated_Literage[[#This Row],[Parshall Flume]] - 23000) * 0.1 + SUM(Consolidated_Literage[[#This Row],[SRK]:[Borehole9]]) + Consolidated_Literage[[#This Row],[Supplementary Pump]]</f>
        <v>70500</v>
      </c>
      <c r="AC3" s="7">
        <v>30000</v>
      </c>
      <c r="AD3">
        <f>SummaryStatisticsFormulae[[#This Row],[Consumption l/h]]/SummaryStatisticsFormulae[[#This Row],[Current Inflow l/h]]</f>
        <v>0.42553191489361702</v>
      </c>
      <c r="AE3" s="7">
        <f>Consolidated_Literage[[#This Row],[Rouwater]]</f>
        <v>1431111.111111111</v>
      </c>
      <c r="AF3" s="7">
        <f>Consolidated_Literage[[#This Row],[Staandak]]</f>
        <v>259285.71428571429</v>
      </c>
      <c r="AG3" s="7">
        <f>Consolidated_Literage[[#This Row],[Klippies]]</f>
        <v>285365.85365853662</v>
      </c>
      <c r="AH3" s="7">
        <f>Consolidated_Literage[[#This Row],[Hoedruk]]</f>
        <v>401515.15151515155</v>
      </c>
      <c r="AI3" s="7">
        <f>Consolidated_Literage[[#This Row],[NoordEnd1]]</f>
        <v>846153.84615384613</v>
      </c>
      <c r="AJ3" s="7">
        <f>Consolidated_Literage[[#This Row],[NoordEnd2]]</f>
        <v>774193.54838709673</v>
      </c>
      <c r="AK3">
        <f>Consolidated_Literage[[#This Row],[Rouwater]]/Dam_Capacity[Rouwater]</f>
        <v>0.51111111111111107</v>
      </c>
      <c r="AL3">
        <f>Consolidated_Literage[[#This Row],[Staandak]]/Dam_Capacity[Staandak]</f>
        <v>0.52380952380952384</v>
      </c>
      <c r="AM3">
        <f>Consolidated_Literage[[#This Row],[Klippies]]/Dam_Capacity[Klippies]</f>
        <v>0.31707317073170738</v>
      </c>
      <c r="AN3">
        <f>Consolidated_Literage[[#This Row],[Hoedruk]]/Dam_Capacity[Koppies]</f>
        <v>0.80303030303030309</v>
      </c>
      <c r="AO3">
        <f>Consolidated_Literage[[#This Row],[NoordEnd1]]/Dam_Capacity[Noord-end1]</f>
        <v>0.84615384615384615</v>
      </c>
      <c r="AP3">
        <f>Consolidated_Literage[[#This Row],[NoordEnd2]]/Dam_Capacity[Noord-end2]</f>
        <v>0.5161290322580645</v>
      </c>
      <c r="AQ3" t="str">
        <f>IF(SummaryStatisticsFormulae[[#This Row],[Current Inflow l/h]]&gt;=SummaryStatisticsFormulae[[#This Row],[Consumption l/h]], "N/A", SummaryStatisticsFormulae[[#This Row],[Total Dam Literage]]/((SummaryStatisticsFormulae[[#This Row],[Consumption l/h]]-SummaryStatisticsFormulae[[#This Row],[Current Inflow l/h]])*24))</f>
        <v>N/A</v>
      </c>
    </row>
    <row r="4" spans="1:43" x14ac:dyDescent="0.3">
      <c r="I4" s="8">
        <f>GroundwaterMeasurements[[#This Row],[Date]]</f>
        <v>43796.416666666664</v>
      </c>
      <c r="J4">
        <f>GroundwaterMeasurements[[#This Row],[ParshallFlume]]</f>
        <v>92000</v>
      </c>
      <c r="K4">
        <f>GroundwaterMeasurements[[#This Row],[Supplementary Pump]]</f>
        <v>0</v>
      </c>
      <c r="M4" s="9">
        <f>Borehole_Measurements[[#This Row],[Date]]</f>
        <v>43796.416666666664</v>
      </c>
      <c r="N4" s="5">
        <f>Borehole_Measurements[[#This Row],[SRK]]</f>
        <v>9000</v>
      </c>
      <c r="O4" s="5">
        <f>Borehole_Measurements[[#This Row],[Borehole1]]</f>
        <v>3000</v>
      </c>
      <c r="P4" s="5">
        <f>Borehole_Measurements[[#This Row],[Borehole2]]</f>
        <v>7200</v>
      </c>
      <c r="Q4" s="5">
        <f>Borehole_Measurements[[#This Row],[Borehole3]]</f>
        <v>30000</v>
      </c>
      <c r="R4" s="5">
        <f>Borehole_Measurements[[#This Row],[Borehole4]]</f>
        <v>2000</v>
      </c>
      <c r="S4" s="5">
        <f>Borehole_Measurements[[#This Row],[Borehole5]]</f>
        <v>8000</v>
      </c>
      <c r="T4" s="5">
        <f>Borehole_Measurements[[#This Row],[Borehole6]]</f>
        <v>0</v>
      </c>
      <c r="U4" s="5">
        <f>Borehole_Measurements[[#This Row],[Borehole7]]</f>
        <v>0</v>
      </c>
      <c r="V4" s="5">
        <f>Borehole_Measurements[[#This Row],[Borehole8]]</f>
        <v>4400</v>
      </c>
    </row>
  </sheetData>
  <phoneticPr fontId="2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A349-B8A5-4013-BE87-D2A41494CE57}">
  <sheetPr codeName="Sheet4"/>
  <dimension ref="A1:AN21"/>
  <sheetViews>
    <sheetView workbookViewId="0">
      <selection activeCell="L8" sqref="L8"/>
    </sheetView>
  </sheetViews>
  <sheetFormatPr defaultRowHeight="14.4" x14ac:dyDescent="0.3"/>
  <cols>
    <col min="1" max="1" width="18" customWidth="1"/>
    <col min="2" max="2" width="16.6640625" customWidth="1"/>
    <col min="3" max="3" width="14.77734375" customWidth="1"/>
    <col min="4" max="4" width="14.5546875" customWidth="1"/>
    <col min="5" max="5" width="16.6640625" customWidth="1"/>
    <col min="6" max="6" width="17.88671875" customWidth="1"/>
    <col min="7" max="7" width="18.44140625" customWidth="1"/>
    <col min="8" max="8" width="19.5546875" customWidth="1"/>
    <col min="9" max="9" width="25.5546875" customWidth="1"/>
    <col min="10" max="10" width="22.109375" customWidth="1"/>
    <col min="11" max="11" width="25.88671875" customWidth="1"/>
    <col min="12" max="12" width="20.6640625" customWidth="1"/>
  </cols>
  <sheetData>
    <row r="1" spans="1:9" x14ac:dyDescent="0.3">
      <c r="A1" s="1" t="s">
        <v>4</v>
      </c>
      <c r="I1" s="1"/>
    </row>
    <row r="2" spans="1:9" x14ac:dyDescent="0.3">
      <c r="A2" t="s">
        <v>2</v>
      </c>
      <c r="B2" t="s">
        <v>6</v>
      </c>
      <c r="C2" t="s">
        <v>7</v>
      </c>
      <c r="D2" t="s">
        <v>8</v>
      </c>
      <c r="E2" t="s">
        <v>10</v>
      </c>
      <c r="F2" t="s">
        <v>9</v>
      </c>
    </row>
    <row r="3" spans="1:9" x14ac:dyDescent="0.3">
      <c r="A3">
        <v>3.6</v>
      </c>
      <c r="B3">
        <v>4.0999999999999996</v>
      </c>
      <c r="C3">
        <v>4.2</v>
      </c>
      <c r="D3">
        <v>3.3</v>
      </c>
      <c r="E3">
        <v>2.6</v>
      </c>
      <c r="F3">
        <v>3.1</v>
      </c>
    </row>
    <row r="6" spans="1:9" x14ac:dyDescent="0.3">
      <c r="A6" s="1" t="s">
        <v>5</v>
      </c>
    </row>
    <row r="7" spans="1:9" x14ac:dyDescent="0.3">
      <c r="A7" t="s">
        <v>2</v>
      </c>
      <c r="B7" t="s">
        <v>6</v>
      </c>
      <c r="C7" t="s">
        <v>7</v>
      </c>
      <c r="D7" t="s">
        <v>8</v>
      </c>
      <c r="E7" t="s">
        <v>10</v>
      </c>
      <c r="F7" t="s">
        <v>9</v>
      </c>
    </row>
    <row r="8" spans="1:9" x14ac:dyDescent="0.3">
      <c r="A8">
        <v>2800000</v>
      </c>
      <c r="B8">
        <v>900000</v>
      </c>
      <c r="C8">
        <v>495000</v>
      </c>
      <c r="D8">
        <v>500000</v>
      </c>
      <c r="E8">
        <v>1000000</v>
      </c>
      <c r="F8">
        <v>1500000</v>
      </c>
    </row>
    <row r="10" spans="1:9" x14ac:dyDescent="0.3">
      <c r="A10" s="1" t="s">
        <v>27</v>
      </c>
      <c r="E10" s="1" t="s">
        <v>35</v>
      </c>
    </row>
    <row r="11" spans="1:9" x14ac:dyDescent="0.3">
      <c r="A11" t="s">
        <v>28</v>
      </c>
      <c r="B11" t="s">
        <v>29</v>
      </c>
      <c r="E11" t="s">
        <v>36</v>
      </c>
    </row>
    <row r="12" spans="1:9" x14ac:dyDescent="0.3">
      <c r="A12">
        <v>3.07</v>
      </c>
      <c r="B12">
        <v>1.53</v>
      </c>
      <c r="E12">
        <v>9.81</v>
      </c>
    </row>
    <row r="14" spans="1:9" x14ac:dyDescent="0.3">
      <c r="A14" s="1" t="s">
        <v>32</v>
      </c>
    </row>
    <row r="15" spans="1:9" x14ac:dyDescent="0.3">
      <c r="A15" t="s">
        <v>37</v>
      </c>
      <c r="B15" t="s">
        <v>38</v>
      </c>
      <c r="C15" t="s">
        <v>33</v>
      </c>
      <c r="D15" t="s">
        <v>34</v>
      </c>
    </row>
    <row r="16" spans="1:9" x14ac:dyDescent="0.3">
      <c r="A16">
        <v>0.61</v>
      </c>
      <c r="B16">
        <v>0.8</v>
      </c>
      <c r="C16">
        <v>0.45</v>
      </c>
      <c r="D16">
        <v>0.4</v>
      </c>
    </row>
    <row r="19" spans="1:40" x14ac:dyDescent="0.3">
      <c r="A19" s="1" t="s">
        <v>65</v>
      </c>
    </row>
    <row r="20" spans="1:40" x14ac:dyDescent="0.3">
      <c r="A20" t="s">
        <v>66</v>
      </c>
      <c r="B20" t="s">
        <v>67</v>
      </c>
      <c r="C20" t="s">
        <v>68</v>
      </c>
      <c r="D20" t="s">
        <v>69</v>
      </c>
      <c r="E20" t="s">
        <v>70</v>
      </c>
      <c r="F20" t="s">
        <v>71</v>
      </c>
      <c r="G20" t="s">
        <v>72</v>
      </c>
      <c r="H20" t="s">
        <v>74</v>
      </c>
      <c r="I20" t="s">
        <v>73</v>
      </c>
      <c r="J20" t="s">
        <v>104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  <c r="R20" t="s">
        <v>82</v>
      </c>
      <c r="S20" t="s">
        <v>83</v>
      </c>
      <c r="T20" t="s">
        <v>84</v>
      </c>
      <c r="U20" t="s">
        <v>105</v>
      </c>
      <c r="V20" t="s">
        <v>85</v>
      </c>
      <c r="W20" t="s">
        <v>86</v>
      </c>
      <c r="X20" t="s">
        <v>88</v>
      </c>
      <c r="Y20" t="s">
        <v>89</v>
      </c>
      <c r="Z20" t="s">
        <v>87</v>
      </c>
      <c r="AA20" t="s">
        <v>90</v>
      </c>
      <c r="AB20" t="s">
        <v>91</v>
      </c>
      <c r="AC20" t="s">
        <v>92</v>
      </c>
      <c r="AD20" t="s">
        <v>93</v>
      </c>
      <c r="AE20" t="s">
        <v>94</v>
      </c>
      <c r="AF20" t="s">
        <v>95</v>
      </c>
      <c r="AG20" t="s">
        <v>96</v>
      </c>
      <c r="AH20" t="s">
        <v>97</v>
      </c>
      <c r="AI20" t="s">
        <v>98</v>
      </c>
      <c r="AJ20" t="s">
        <v>99</v>
      </c>
      <c r="AK20" t="s">
        <v>100</v>
      </c>
      <c r="AL20" t="s">
        <v>101</v>
      </c>
      <c r="AM20" t="s">
        <v>102</v>
      </c>
      <c r="AN20" t="s">
        <v>103</v>
      </c>
    </row>
    <row r="21" spans="1:40" x14ac:dyDescent="0.3">
      <c r="A21">
        <v>2</v>
      </c>
      <c r="B21">
        <v>1</v>
      </c>
      <c r="C21">
        <v>4</v>
      </c>
      <c r="D21">
        <v>1</v>
      </c>
      <c r="E21">
        <v>4</v>
      </c>
      <c r="F21">
        <v>3</v>
      </c>
      <c r="G21">
        <v>4</v>
      </c>
      <c r="H21">
        <v>5</v>
      </c>
      <c r="I21">
        <v>6</v>
      </c>
      <c r="J21">
        <v>1</v>
      </c>
      <c r="K21">
        <v>6</v>
      </c>
      <c r="L21">
        <v>3</v>
      </c>
      <c r="M21">
        <v>6</v>
      </c>
      <c r="N21">
        <v>5</v>
      </c>
      <c r="O21">
        <v>9</v>
      </c>
      <c r="P21">
        <v>1</v>
      </c>
      <c r="Q21">
        <v>9</v>
      </c>
      <c r="R21">
        <v>2</v>
      </c>
      <c r="S21">
        <v>9</v>
      </c>
      <c r="T21">
        <v>3</v>
      </c>
      <c r="U21">
        <v>9</v>
      </c>
      <c r="V21">
        <v>4</v>
      </c>
      <c r="W21">
        <v>9</v>
      </c>
      <c r="X21">
        <v>5</v>
      </c>
      <c r="Y21">
        <v>9</v>
      </c>
      <c r="Z21">
        <v>6</v>
      </c>
      <c r="AA21">
        <v>10</v>
      </c>
      <c r="AB21">
        <v>1</v>
      </c>
      <c r="AC21">
        <v>10</v>
      </c>
      <c r="AD21">
        <v>2</v>
      </c>
      <c r="AE21">
        <v>10</v>
      </c>
      <c r="AF21">
        <v>3</v>
      </c>
      <c r="AG21">
        <v>10</v>
      </c>
      <c r="AH21">
        <v>4</v>
      </c>
      <c r="AI21">
        <v>10</v>
      </c>
      <c r="AJ21">
        <v>5</v>
      </c>
      <c r="AK21">
        <v>10</v>
      </c>
      <c r="AL21">
        <v>6</v>
      </c>
      <c r="AM21">
        <v>12</v>
      </c>
      <c r="AN21">
        <v>1</v>
      </c>
    </row>
  </sheetData>
  <phoneticPr fontId="2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BB420-61F7-43C3-A7D0-B3F60918B887}">
  <sheetPr codeName="Sheet5"/>
  <dimension ref="A1:F12"/>
  <sheetViews>
    <sheetView workbookViewId="0">
      <selection activeCell="D15" sqref="D15"/>
    </sheetView>
  </sheetViews>
  <sheetFormatPr defaultRowHeight="14.4" x14ac:dyDescent="0.3"/>
  <cols>
    <col min="1" max="1" width="14.109375" customWidth="1"/>
    <col min="2" max="2" width="11.88671875" customWidth="1"/>
    <col min="3" max="3" width="14.5546875" customWidth="1"/>
    <col min="4" max="4" width="20.21875" customWidth="1"/>
    <col min="5" max="6" width="12.44140625" customWidth="1"/>
  </cols>
  <sheetData>
    <row r="1" spans="1:6" x14ac:dyDescent="0.3">
      <c r="A1" s="18" t="s">
        <v>48</v>
      </c>
      <c r="B1" s="19"/>
      <c r="C1" s="20"/>
      <c r="D1" s="20"/>
      <c r="E1" s="20"/>
      <c r="F1" s="20"/>
    </row>
    <row r="2" spans="1:6" x14ac:dyDescent="0.3">
      <c r="A2" s="20"/>
      <c r="B2" s="20"/>
      <c r="C2" s="20"/>
      <c r="D2" s="20"/>
      <c r="E2" s="20"/>
      <c r="F2" s="20"/>
    </row>
    <row r="3" spans="1:6" x14ac:dyDescent="0.3">
      <c r="A3" s="12" t="s">
        <v>108</v>
      </c>
      <c r="B3" s="13"/>
      <c r="C3" s="12" t="s">
        <v>42</v>
      </c>
      <c r="D3" s="14"/>
      <c r="E3" s="12" t="s">
        <v>41</v>
      </c>
      <c r="F3" s="14"/>
    </row>
    <row r="4" spans="1:6" x14ac:dyDescent="0.3">
      <c r="A4" s="22"/>
      <c r="B4" s="23"/>
      <c r="C4" s="22"/>
      <c r="D4" s="23"/>
      <c r="E4" s="27"/>
      <c r="F4" s="15"/>
    </row>
    <row r="5" spans="1:6" x14ac:dyDescent="0.3">
      <c r="A5" s="24" t="s">
        <v>45</v>
      </c>
      <c r="B5" s="25"/>
      <c r="C5" s="24" t="s">
        <v>113</v>
      </c>
      <c r="D5" s="30"/>
      <c r="E5" s="12" t="s">
        <v>110</v>
      </c>
      <c r="F5" s="14"/>
    </row>
    <row r="6" spans="1:6" x14ac:dyDescent="0.3">
      <c r="A6" s="22"/>
      <c r="B6" s="23"/>
      <c r="C6" s="22"/>
      <c r="D6" s="23"/>
      <c r="E6" s="27"/>
      <c r="F6" s="15"/>
    </row>
    <row r="7" spans="1:6" x14ac:dyDescent="0.3">
      <c r="A7" s="16"/>
      <c r="B7" s="16"/>
      <c r="C7" s="16"/>
      <c r="D7" s="16"/>
      <c r="E7" s="16"/>
      <c r="F7" s="16"/>
    </row>
    <row r="8" spans="1:6" x14ac:dyDescent="0.3">
      <c r="A8" s="17" t="s">
        <v>109</v>
      </c>
      <c r="B8" s="17" t="s">
        <v>7</v>
      </c>
      <c r="C8" s="17" t="s">
        <v>6</v>
      </c>
      <c r="D8" s="17" t="s">
        <v>111</v>
      </c>
      <c r="E8" s="17" t="s">
        <v>43</v>
      </c>
      <c r="F8" s="17" t="s">
        <v>44</v>
      </c>
    </row>
    <row r="9" spans="1:6" x14ac:dyDescent="0.3">
      <c r="A9" s="29"/>
      <c r="B9" s="29"/>
      <c r="C9" s="29"/>
      <c r="D9" s="29"/>
      <c r="E9" s="29"/>
      <c r="F9" s="29"/>
    </row>
    <row r="10" spans="1:6" x14ac:dyDescent="0.3">
      <c r="A10" s="28"/>
      <c r="B10" s="28"/>
      <c r="C10" s="28"/>
      <c r="D10" s="28"/>
      <c r="E10" s="28"/>
      <c r="F10" s="28"/>
    </row>
    <row r="11" spans="1:6" x14ac:dyDescent="0.3">
      <c r="A11" s="21" t="s">
        <v>47</v>
      </c>
      <c r="B11" s="16"/>
      <c r="C11" s="16"/>
      <c r="D11" s="16"/>
      <c r="E11" s="16"/>
      <c r="F11" s="16"/>
    </row>
    <row r="12" spans="1:6" x14ac:dyDescent="0.3">
      <c r="A12" s="26"/>
      <c r="B12" s="16"/>
      <c r="C12" s="16"/>
      <c r="D12" s="16"/>
      <c r="E12" s="16"/>
      <c r="F12" s="16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A9C5D-ABA0-4C31-A2CA-711D95028EE2}">
  <sheetPr codeName="Sheet8"/>
  <dimension ref="A1:T4"/>
  <sheetViews>
    <sheetView workbookViewId="0">
      <selection activeCell="T23" sqref="T23"/>
    </sheetView>
  </sheetViews>
  <sheetFormatPr defaultRowHeight="14.4" x14ac:dyDescent="0.3"/>
  <cols>
    <col min="1" max="1" width="23.44140625" customWidth="1"/>
    <col min="3" max="3" width="17.21875" customWidth="1"/>
    <col min="4" max="4" width="13.33203125" customWidth="1"/>
    <col min="5" max="5" width="19.44140625" customWidth="1"/>
    <col min="6" max="6" width="23.33203125" customWidth="1"/>
    <col min="7" max="7" width="21" customWidth="1"/>
    <col min="8" max="8" width="12.33203125" customWidth="1"/>
    <col min="9" max="9" width="15.21875" customWidth="1"/>
    <col min="10" max="10" width="15.88671875" customWidth="1"/>
  </cols>
  <sheetData>
    <row r="1" spans="1:20" x14ac:dyDescent="0.3">
      <c r="A1" s="1" t="s">
        <v>106</v>
      </c>
    </row>
    <row r="2" spans="1:20" x14ac:dyDescent="0.3">
      <c r="A2" s="34" t="s">
        <v>40</v>
      </c>
      <c r="B2" t="s">
        <v>50</v>
      </c>
      <c r="C2" t="s">
        <v>42</v>
      </c>
      <c r="D2" t="s">
        <v>41</v>
      </c>
      <c r="E2" t="s">
        <v>45</v>
      </c>
      <c r="F2" t="s">
        <v>46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 t="s">
        <v>62</v>
      </c>
      <c r="S2" t="s">
        <v>63</v>
      </c>
      <c r="T2" t="s">
        <v>64</v>
      </c>
    </row>
    <row r="3" spans="1:20" x14ac:dyDescent="0.3">
      <c r="A3" s="34">
        <f>Consolidated_Literage[[#This Row],[Date]]</f>
        <v>43796.416666666664</v>
      </c>
      <c r="B3">
        <f>SUM(Consolidated_Literage[[#This Row],[Rouwater]:[NoordEnd2]])</f>
        <v>3997625.2251114561</v>
      </c>
      <c r="C3">
        <f>SUM(Dam_Capacity[])</f>
        <v>7195000</v>
      </c>
      <c r="D3">
        <f>SummaryStatisticsTable[[#This Row],[Total Dam Literage]]/SummaryStatisticsTable[[#This Row],[Total Dam Capacity]]</f>
        <v>0.55561156707594939</v>
      </c>
      <c r="E3">
        <f>(Consolidated_Literage[[#This Row],[Parshall Flume]] - 23000) * 0.1 + SUM(Consolidated_Literage[[#This Row],[SRK]:[Borehole9]]) + Consolidated_Literage[[#This Row],[Supplementary Pump]]</f>
        <v>70500</v>
      </c>
      <c r="F3" s="7">
        <v>30000</v>
      </c>
      <c r="G3">
        <f>SummaryStatisticsTable[[#This Row],[Consumption l/h]]/SummaryStatisticsTable[[#This Row],[Current Inflow l/h]]</f>
        <v>0.42553191489361702</v>
      </c>
      <c r="H3">
        <f>Consolidated_Literage[[#This Row],[Rouwater]]</f>
        <v>1431111.111111111</v>
      </c>
      <c r="I3" s="7">
        <f>Consolidated_Literage[[#This Row],[Staandak]]</f>
        <v>259285.71428571429</v>
      </c>
      <c r="J3" s="7">
        <f>Consolidated_Literage[[#This Row],[Klippies]]</f>
        <v>285365.85365853662</v>
      </c>
      <c r="K3">
        <f>Consolidated_Literage[[#This Row],[Hoedruk]]</f>
        <v>401515.15151515155</v>
      </c>
      <c r="L3">
        <f>Consolidated_Literage[[#This Row],[NoordEnd1]]</f>
        <v>846153.84615384613</v>
      </c>
      <c r="M3">
        <f>Consolidated_Literage[[#This Row],[NoordEnd2]]</f>
        <v>774193.54838709673</v>
      </c>
      <c r="N3">
        <f>Consolidated_Literage[[#This Row],[Rouwater]]/Dam_Capacity[Rouwater]</f>
        <v>0.51111111111111107</v>
      </c>
      <c r="O3">
        <f>Consolidated_Literage[[#This Row],[Staandak]]/Dam_Capacity[Staandak]</f>
        <v>0.52380952380952384</v>
      </c>
      <c r="P3">
        <f>Consolidated_Literage[[#This Row],[Klippies]]/Dam_Capacity[Klippies]</f>
        <v>0.31707317073170738</v>
      </c>
      <c r="Q3">
        <f>Consolidated_Literage[[#This Row],[Hoedruk]]/Dam_Capacity[Koppies]</f>
        <v>0.80303030303030309</v>
      </c>
      <c r="R3">
        <f>Consolidated_Literage[[#This Row],[NoordEnd1]]/Dam_Capacity[Noord-end1]</f>
        <v>0.84615384615384615</v>
      </c>
      <c r="S3">
        <f>Consolidated_Literage[[#This Row],[NoordEnd2]]/Dam_Capacity[Noord-end2]</f>
        <v>0.5161290322580645</v>
      </c>
      <c r="T3" t="str">
        <f>IF(SummaryStatisticsTable[[#This Row],[Current Inflow l/h]]&gt;=SummaryStatisticsTable[[#This Row],[Consumption l/h]], "N/A", SummaryStatisticsTable[[#This Row],[Total Dam Literage]]/((SummaryStatisticsTable[[#This Row],[Consumption l/h]]-SummaryStatisticsTable[[#This Row],[Current Inflow l/h]])*24))</f>
        <v>N/A</v>
      </c>
    </row>
    <row r="4" spans="1:20" x14ac:dyDescent="0.3">
      <c r="A4" s="34">
        <f>Consolidated_Literage[[#This Row],[Date]]</f>
        <v>43797.458333333336</v>
      </c>
      <c r="B4">
        <f>SUM(Consolidated_Literage[[#This Row],[Rouwater]:[NoordEnd2]])</f>
        <v>3770544.0396215376</v>
      </c>
      <c r="C4">
        <f>SUM(Dam_Capacity[])</f>
        <v>7195000</v>
      </c>
      <c r="D4">
        <f>SummaryStatisticsTable[[#This Row],[Total Dam Literage]]/SummaryStatisticsTable[[#This Row],[Total Dam Capacity]]</f>
        <v>0.52405059619479322</v>
      </c>
      <c r="E4">
        <f>(Consolidated_Literage[[#This Row],[Parshall Flume]] - 23000) * 0.1 + SUM(Consolidated_Literage[[#This Row],[SRK]:[Borehole9]]) + Consolidated_Literage[[#This Row],[Supplementary Pump]]</f>
        <v>75300</v>
      </c>
      <c r="F4" s="7">
        <v>79583.23841513849</v>
      </c>
      <c r="G4">
        <f>SummaryStatisticsTable[[#This Row],[Consumption l/h]]/SummaryStatisticsTable[[#This Row],[Current Inflow l/h]]</f>
        <v>1.0568823162700995</v>
      </c>
      <c r="H4">
        <f>Consolidated_Literage[[#This Row],[Rouwater]]</f>
        <v>1330000</v>
      </c>
      <c r="I4" s="7">
        <f>Consolidated_Literage[[#This Row],[Staandak]]</f>
        <v>247500</v>
      </c>
      <c r="J4" s="7">
        <f>Consolidated_Literage[[#This Row],[Klippies]]</f>
        <v>219512.19512195123</v>
      </c>
      <c r="K4">
        <f>Consolidated_Literage[[#This Row],[Hoedruk]]</f>
        <v>333333.33333333337</v>
      </c>
      <c r="L4">
        <f>Consolidated_Literage[[#This Row],[NoordEnd1]]</f>
        <v>769230.76923076913</v>
      </c>
      <c r="M4">
        <f>Consolidated_Literage[[#This Row],[NoordEnd2]]</f>
        <v>870967.74193548388</v>
      </c>
      <c r="N4">
        <f>Consolidated_Literage[[#This Row],[Rouwater]]/Dam_Capacity[Rouwater]</f>
        <v>0.47499999999999998</v>
      </c>
      <c r="O4">
        <f>Consolidated_Literage[[#This Row],[Staandak]]/Dam_Capacity[Staandak]</f>
        <v>0.5</v>
      </c>
      <c r="P4">
        <f>Consolidated_Literage[[#This Row],[Klippies]]/Dam_Capacity[Klippies]</f>
        <v>0.24390243902439024</v>
      </c>
      <c r="Q4">
        <f>Consolidated_Literage[[#This Row],[Hoedruk]]/Dam_Capacity[Koppies]</f>
        <v>0.66666666666666674</v>
      </c>
      <c r="R4">
        <f>Consolidated_Literage[[#This Row],[NoordEnd1]]/Dam_Capacity[Noord-end1]</f>
        <v>0.76923076923076916</v>
      </c>
      <c r="S4">
        <f>Consolidated_Literage[[#This Row],[NoordEnd2]]/Dam_Capacity[Noord-end2]</f>
        <v>0.58064516129032262</v>
      </c>
      <c r="T4">
        <f>IF(SummaryStatisticsTable[[#This Row],[Current Inflow l/h]]&gt;=SummaryStatisticsTable[[#This Row],[Consumption l/h]], "N/A", SummaryStatisticsTable[[#This Row],[Total Dam Literage]]/((SummaryStatisticsTable[[#This Row],[Consumption l/h]]-SummaryStatisticsTable[[#This Row],[Current Inflow l/h]])*24))</f>
        <v>36.679256773479807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2D7FA6-1F30-4D55-A86D-AAE53D2A60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Measurements</vt:lpstr>
      <vt:lpstr>Consolidated Literage</vt:lpstr>
      <vt:lpstr>Summary Statistics</vt:lpstr>
      <vt:lpstr>Literage</vt:lpstr>
      <vt:lpstr>Formulas</vt:lpstr>
      <vt:lpstr>Constants</vt:lpstr>
      <vt:lpstr>SummaryStatisticsTemplate</vt:lpstr>
      <vt:lpstr>SummaryStatisticsTable</vt:lpstr>
      <vt:lpstr>SummaryStatisticsTemplate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2019-11-11T12:44:47Z</dcterms:created>
  <dcterms:modified xsi:type="dcterms:W3CDTF">2020-01-16T14:37:13Z</dcterms:modified>
</cp:coreProperties>
</file>